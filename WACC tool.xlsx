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dgruberkatharina/Library/CloudStorage/OneDrive-TheBostonConsultingGroup,Inc/01_TUM/01_Papers/01_WACC CoC/"/>
    </mc:Choice>
  </mc:AlternateContent>
  <xr:revisionPtr revIDLastSave="0" documentId="13_ncr:1_{81D31775-40C6-5A44-97F9-5AD451ACAB60}" xr6:coauthVersionLast="47" xr6:coauthVersionMax="47" xr10:uidLastSave="{00000000-0000-0000-0000-000000000000}"/>
  <bookViews>
    <workbookView xWindow="-4640" yWindow="-21100" windowWidth="38400" windowHeight="21100" activeTab="11" xr2:uid="{DBB0E467-2CD5-3946-9C11-AE54D225005E}"/>
  </bookViews>
  <sheets>
    <sheet name="WACC Tool" sheetId="1" r:id="rId1"/>
    <sheet name="Input&gt;" sheetId="2" r:id="rId2"/>
    <sheet name="Equity Risk Premium" sheetId="6" r:id="rId3"/>
    <sheet name="Global Risk Free Rate" sheetId="5" r:id="rId4"/>
    <sheet name="Tax Rate" sheetId="3" r:id="rId5"/>
    <sheet name="Country Default Spread" sheetId="9" r:id="rId6"/>
    <sheet name="Country Premium" sheetId="10" r:id="rId7"/>
    <sheet name="Infrastructure Premium" sheetId="13" r:id="rId8"/>
    <sheet name="Region and Tech Premium" sheetId="11" r:id="rId9"/>
    <sheet name="Debt Share" sheetId="15" r:id="rId10"/>
    <sheet name="World Regions" sheetId="8" r:id="rId11"/>
    <sheet name="Sources" sheetId="4" r:id="rId12"/>
    <sheet name="Drop Down Lists" sheetId="14" r:id="rId13"/>
  </sheets>
  <externalReferences>
    <externalReference r:id="rId14"/>
  </externalReferences>
  <definedNames>
    <definedName name="_xlnm._FilterDatabase" localSheetId="10" hidden="1">'World Regions'!$B$5:$F$226</definedName>
    <definedName name="_Key1" hidden="1">#REF!</definedName>
    <definedName name="_Order1" hidden="1">255</definedName>
    <definedName name="_Sort" hidden="1">#REF!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5" i="1" l="1"/>
  <c r="C42" i="1" s="1"/>
  <c r="C40" i="1"/>
  <c r="C39" i="1"/>
  <c r="C38" i="1" a="1"/>
  <c r="C38" i="1" s="1"/>
  <c r="C37" i="1"/>
  <c r="C36" i="1" a="1"/>
  <c r="C36" i="1" s="1"/>
  <c r="C35" i="1"/>
  <c r="C34" i="1" a="1"/>
  <c r="C34" i="1" s="1"/>
  <c r="C33" i="1"/>
  <c r="J9" i="11"/>
  <c r="J8" i="11"/>
  <c r="J7" i="11"/>
  <c r="I9" i="11"/>
  <c r="I8" i="11"/>
  <c r="I7" i="11"/>
  <c r="H9" i="11"/>
  <c r="H8" i="11"/>
  <c r="H7" i="11"/>
  <c r="G9" i="11"/>
  <c r="G8" i="11"/>
  <c r="G7" i="11"/>
  <c r="F9" i="11"/>
  <c r="F8" i="11"/>
  <c r="F7" i="11"/>
  <c r="E9" i="11"/>
  <c r="E8" i="11"/>
  <c r="E7" i="11"/>
  <c r="D9" i="11"/>
  <c r="D8" i="11"/>
  <c r="D7" i="11"/>
  <c r="G12" i="11"/>
  <c r="J12" i="11"/>
  <c r="J11" i="11"/>
  <c r="J10" i="11"/>
  <c r="I12" i="11"/>
  <c r="I11" i="11"/>
  <c r="I10" i="11"/>
  <c r="H12" i="11"/>
  <c r="H11" i="11"/>
  <c r="H10" i="11"/>
  <c r="G11" i="11"/>
  <c r="G10" i="11"/>
  <c r="F12" i="11"/>
  <c r="F11" i="11"/>
  <c r="F10" i="11"/>
  <c r="E12" i="11"/>
  <c r="E11" i="11"/>
  <c r="E10" i="11"/>
  <c r="D12" i="11"/>
  <c r="D11" i="11"/>
  <c r="D10" i="11"/>
  <c r="C43" i="1"/>
  <c r="B2" i="4" a="1"/>
  <c r="B2" i="4" s="1"/>
  <c r="B3" i="14" a="1"/>
  <c r="B3" i="14" s="1"/>
  <c r="B2" i="8" a="1"/>
  <c r="B2" i="8" s="1"/>
  <c r="B2" i="15" a="1"/>
  <c r="B2" i="15" s="1"/>
  <c r="B2" i="11" a="1"/>
  <c r="B2" i="11" s="1"/>
  <c r="B2" i="13" a="1"/>
  <c r="B2" i="13" s="1"/>
  <c r="B2" i="10" a="1"/>
  <c r="B2" i="10" s="1"/>
  <c r="B2" i="9" a="1"/>
  <c r="B2" i="9" s="1"/>
  <c r="B2" i="3" a="1"/>
  <c r="B2" i="3" s="1"/>
  <c r="B2" i="5" a="1"/>
  <c r="B2" i="5" s="1"/>
  <c r="B2" i="6" a="1"/>
  <c r="B2" i="6" s="1"/>
  <c r="B3" i="1" a="1"/>
  <c r="B3" i="1" s="1"/>
  <c r="C29" i="1" l="1"/>
  <c r="C31" i="1"/>
  <c r="C41" i="1"/>
  <c r="C28" i="1" s="1"/>
  <c r="C26" i="1" l="1"/>
  <c r="C30" i="1"/>
  <c r="C2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<sst xmlns="http://schemas.openxmlformats.org/spreadsheetml/2006/main" count="7307" uniqueCount="861">
  <si>
    <t>iso_2</t>
  </si>
  <si>
    <t>iso_3</t>
  </si>
  <si>
    <t>continent</t>
  </si>
  <si>
    <t>country</t>
  </si>
  <si>
    <t>AW</t>
  </si>
  <si>
    <t>ABW</t>
  </si>
  <si>
    <t>NO</t>
  </si>
  <si>
    <t>Aruba</t>
  </si>
  <si>
    <t>NA</t>
  </si>
  <si>
    <t>AF</t>
  </si>
  <si>
    <t>AFG</t>
  </si>
  <si>
    <t>AS</t>
  </si>
  <si>
    <t>Afghanistan</t>
  </si>
  <si>
    <t>AO</t>
  </si>
  <si>
    <t>AGO</t>
  </si>
  <si>
    <t>Angola</t>
  </si>
  <si>
    <t>AI</t>
  </si>
  <si>
    <t>AIA</t>
  </si>
  <si>
    <t>Anguilla</t>
  </si>
  <si>
    <t>AX</t>
  </si>
  <si>
    <t>ALA</t>
  </si>
  <si>
    <t>EU</t>
  </si>
  <si>
    <t>Aland Islands</t>
  </si>
  <si>
    <t>AL</t>
  </si>
  <si>
    <t>ALB</t>
  </si>
  <si>
    <t>Albania</t>
  </si>
  <si>
    <t>AD</t>
  </si>
  <si>
    <t>AND</t>
  </si>
  <si>
    <t>Andorra</t>
  </si>
  <si>
    <t>AN</t>
  </si>
  <si>
    <t>ANT</t>
  </si>
  <si>
    <t>Netherlands Antilles</t>
  </si>
  <si>
    <t>AE</t>
  </si>
  <si>
    <t>ARE</t>
  </si>
  <si>
    <t>United Arab Emirates</t>
  </si>
  <si>
    <t>AR</t>
  </si>
  <si>
    <t>ARG</t>
  </si>
  <si>
    <t>SA</t>
  </si>
  <si>
    <t>Argentina</t>
  </si>
  <si>
    <t>AM</t>
  </si>
  <si>
    <t>ARM</t>
  </si>
  <si>
    <t>Armenia</t>
  </si>
  <si>
    <t>ASM</t>
  </si>
  <si>
    <t>OC</t>
  </si>
  <si>
    <t>American Samoa</t>
  </si>
  <si>
    <t>AQ</t>
  </si>
  <si>
    <t>ATA</t>
  </si>
  <si>
    <t>Antarctica</t>
  </si>
  <si>
    <t>TF</t>
  </si>
  <si>
    <t>ATF</t>
  </si>
  <si>
    <t>French Southern Territories</t>
  </si>
  <si>
    <t>AG</t>
  </si>
  <si>
    <t>ATG</t>
  </si>
  <si>
    <t>Antigua and Barbuda</t>
  </si>
  <si>
    <t>AU</t>
  </si>
  <si>
    <t>AUS</t>
  </si>
  <si>
    <t>Australia</t>
  </si>
  <si>
    <t>AT</t>
  </si>
  <si>
    <t>AUT</t>
  </si>
  <si>
    <t>Austria</t>
  </si>
  <si>
    <t>AZ</t>
  </si>
  <si>
    <t>AZE</t>
  </si>
  <si>
    <t>Azerbaijan</t>
  </si>
  <si>
    <t>BI</t>
  </si>
  <si>
    <t>BDI</t>
  </si>
  <si>
    <t>Burundi</t>
  </si>
  <si>
    <t>BE</t>
  </si>
  <si>
    <t>BEL</t>
  </si>
  <si>
    <t>Belgium</t>
  </si>
  <si>
    <t>BJ</t>
  </si>
  <si>
    <t>BEN</t>
  </si>
  <si>
    <t>Benin</t>
  </si>
  <si>
    <t>BQ</t>
  </si>
  <si>
    <t>BES</t>
  </si>
  <si>
    <t>Bonaire, Sint Eustatius and Saba</t>
  </si>
  <si>
    <t>BF</t>
  </si>
  <si>
    <t>BFA</t>
  </si>
  <si>
    <t>Burkina Faso</t>
  </si>
  <si>
    <t>BD</t>
  </si>
  <si>
    <t>BGD</t>
  </si>
  <si>
    <t>Bangladesh</t>
  </si>
  <si>
    <t>BG</t>
  </si>
  <si>
    <t>BGR</t>
  </si>
  <si>
    <t>Bulgaria</t>
  </si>
  <si>
    <t>BH</t>
  </si>
  <si>
    <t>BHR</t>
  </si>
  <si>
    <t>Bahrain</t>
  </si>
  <si>
    <t>BS</t>
  </si>
  <si>
    <t>BHS</t>
  </si>
  <si>
    <t>Bahamas</t>
  </si>
  <si>
    <t>BA</t>
  </si>
  <si>
    <t>BIH</t>
  </si>
  <si>
    <t>Bosnia and Herzegovina</t>
  </si>
  <si>
    <t>BL</t>
  </si>
  <si>
    <t>BLM</t>
  </si>
  <si>
    <t>Saint Barthelemy</t>
  </si>
  <si>
    <t>BY</t>
  </si>
  <si>
    <t>BLR</t>
  </si>
  <si>
    <t>Belarus</t>
  </si>
  <si>
    <t>BZ</t>
  </si>
  <si>
    <t>BLZ</t>
  </si>
  <si>
    <t>Belize</t>
  </si>
  <si>
    <t>BM</t>
  </si>
  <si>
    <t>BMU</t>
  </si>
  <si>
    <t>Bermuda</t>
  </si>
  <si>
    <t>BO</t>
  </si>
  <si>
    <t>BOL</t>
  </si>
  <si>
    <t>BR</t>
  </si>
  <si>
    <t>BRA</t>
  </si>
  <si>
    <t>Brazil</t>
  </si>
  <si>
    <t>BB</t>
  </si>
  <si>
    <t>BRB</t>
  </si>
  <si>
    <t>Barbados</t>
  </si>
  <si>
    <t>BN</t>
  </si>
  <si>
    <t>BRN</t>
  </si>
  <si>
    <t>Brunei Darussalam</t>
  </si>
  <si>
    <t>BT</t>
  </si>
  <si>
    <t>BTN</t>
  </si>
  <si>
    <t>Bhutan</t>
  </si>
  <si>
    <t>BV</t>
  </si>
  <si>
    <t>BVT</t>
  </si>
  <si>
    <t>Bouvet Island</t>
  </si>
  <si>
    <t>BW</t>
  </si>
  <si>
    <t>BWA</t>
  </si>
  <si>
    <t>Botswana</t>
  </si>
  <si>
    <t>CF</t>
  </si>
  <si>
    <t>CAF</t>
  </si>
  <si>
    <t>Central African Republic</t>
  </si>
  <si>
    <t>CA</t>
  </si>
  <si>
    <t>CAN</t>
  </si>
  <si>
    <t>Canada</t>
  </si>
  <si>
    <t>CC</t>
  </si>
  <si>
    <t>CCK</t>
  </si>
  <si>
    <t>Cocos (Keeling) Islands</t>
  </si>
  <si>
    <t>CH</t>
  </si>
  <si>
    <t>CHE</t>
  </si>
  <si>
    <t>Switzerland</t>
  </si>
  <si>
    <t>CL</t>
  </si>
  <si>
    <t>CHL</t>
  </si>
  <si>
    <t>Chile</t>
  </si>
  <si>
    <t>CN</t>
  </si>
  <si>
    <t>CHN</t>
  </si>
  <si>
    <t>China</t>
  </si>
  <si>
    <t>CI</t>
  </si>
  <si>
    <t>CIV</t>
  </si>
  <si>
    <t>CM</t>
  </si>
  <si>
    <t>CMR</t>
  </si>
  <si>
    <t>Cameroon</t>
  </si>
  <si>
    <t>CD</t>
  </si>
  <si>
    <t>COD</t>
  </si>
  <si>
    <t>CG</t>
  </si>
  <si>
    <t>COG</t>
  </si>
  <si>
    <t>CK</t>
  </si>
  <si>
    <t>COK</t>
  </si>
  <si>
    <t>Cook Islands</t>
  </si>
  <si>
    <t>CO</t>
  </si>
  <si>
    <t>COL</t>
  </si>
  <si>
    <t>Colombia</t>
  </si>
  <si>
    <t>KM</t>
  </si>
  <si>
    <t>COM</t>
  </si>
  <si>
    <t>Comoros</t>
  </si>
  <si>
    <t>CV</t>
  </si>
  <si>
    <t>CPV</t>
  </si>
  <si>
    <t>CR</t>
  </si>
  <si>
    <t>CRI</t>
  </si>
  <si>
    <t>Costa Rica</t>
  </si>
  <si>
    <t>CU</t>
  </si>
  <si>
    <t>CUB</t>
  </si>
  <si>
    <t>Cuba</t>
  </si>
  <si>
    <t>CW</t>
  </si>
  <si>
    <t>CUW</t>
  </si>
  <si>
    <t>Curacao</t>
  </si>
  <si>
    <t>CX</t>
  </si>
  <si>
    <t>CXR</t>
  </si>
  <si>
    <t>Christmas Island</t>
  </si>
  <si>
    <t>KY</t>
  </si>
  <si>
    <t>CYM</t>
  </si>
  <si>
    <t>Cayman Islands</t>
  </si>
  <si>
    <t>CY</t>
  </si>
  <si>
    <t>CYP</t>
  </si>
  <si>
    <t>Cyprus</t>
  </si>
  <si>
    <t>CZ</t>
  </si>
  <si>
    <t>CZE</t>
  </si>
  <si>
    <t>Czechia</t>
  </si>
  <si>
    <t>DE</t>
  </si>
  <si>
    <t>DEU</t>
  </si>
  <si>
    <t>Germany</t>
  </si>
  <si>
    <t>DJ</t>
  </si>
  <si>
    <t>DJI</t>
  </si>
  <si>
    <t>Djibouti</t>
  </si>
  <si>
    <t>DM</t>
  </si>
  <si>
    <t>DMA</t>
  </si>
  <si>
    <t>Dominica</t>
  </si>
  <si>
    <t>DK</t>
  </si>
  <si>
    <t>DNK</t>
  </si>
  <si>
    <t>Denmark</t>
  </si>
  <si>
    <t>DO</t>
  </si>
  <si>
    <t>DOM</t>
  </si>
  <si>
    <t>Dominican Republic</t>
  </si>
  <si>
    <t>DZ</t>
  </si>
  <si>
    <t>DZA</t>
  </si>
  <si>
    <t>Algeria</t>
  </si>
  <si>
    <t>EC</t>
  </si>
  <si>
    <t>ECU</t>
  </si>
  <si>
    <t>Ecuador</t>
  </si>
  <si>
    <t>EG</t>
  </si>
  <si>
    <t>EGY</t>
  </si>
  <si>
    <t>Egypt</t>
  </si>
  <si>
    <t>ER</t>
  </si>
  <si>
    <t>ERI</t>
  </si>
  <si>
    <t>Eritrea</t>
  </si>
  <si>
    <t>EH</t>
  </si>
  <si>
    <t>ESH</t>
  </si>
  <si>
    <t>Western Sahara</t>
  </si>
  <si>
    <t>ES</t>
  </si>
  <si>
    <t>ESP</t>
  </si>
  <si>
    <t>Spain</t>
  </si>
  <si>
    <t>EE</t>
  </si>
  <si>
    <t>EST</t>
  </si>
  <si>
    <t>Estonia</t>
  </si>
  <si>
    <t>ET</t>
  </si>
  <si>
    <t>ETH</t>
  </si>
  <si>
    <t>Ethiopia</t>
  </si>
  <si>
    <t>FI</t>
  </si>
  <si>
    <t>FIN</t>
  </si>
  <si>
    <t>Finland</t>
  </si>
  <si>
    <t>FJ</t>
  </si>
  <si>
    <t>FJI</t>
  </si>
  <si>
    <t>Fiji</t>
  </si>
  <si>
    <t>FK</t>
  </si>
  <si>
    <t>FLK</t>
  </si>
  <si>
    <t>Falkland Islands (Malvinas)</t>
  </si>
  <si>
    <t>FR</t>
  </si>
  <si>
    <t>FRA</t>
  </si>
  <si>
    <t>France</t>
  </si>
  <si>
    <t>FO</t>
  </si>
  <si>
    <t>FRO</t>
  </si>
  <si>
    <t>Faroe Islands</t>
  </si>
  <si>
    <t>FM</t>
  </si>
  <si>
    <t>FSM</t>
  </si>
  <si>
    <t>Micronesia (Federated States of)</t>
  </si>
  <si>
    <t>GA</t>
  </si>
  <si>
    <t>GAB</t>
  </si>
  <si>
    <t>Gabon</t>
  </si>
  <si>
    <t>GB</t>
  </si>
  <si>
    <t>GBR</t>
  </si>
  <si>
    <t>UK</t>
  </si>
  <si>
    <t>GE</t>
  </si>
  <si>
    <t>GEO</t>
  </si>
  <si>
    <t>Georgia</t>
  </si>
  <si>
    <t>GG</t>
  </si>
  <si>
    <t>GGY</t>
  </si>
  <si>
    <t>GH</t>
  </si>
  <si>
    <t>GHA</t>
  </si>
  <si>
    <t>Ghana</t>
  </si>
  <si>
    <t>GI</t>
  </si>
  <si>
    <t>GIB</t>
  </si>
  <si>
    <t>Gibraltar</t>
  </si>
  <si>
    <t>GN</t>
  </si>
  <si>
    <t>GIN</t>
  </si>
  <si>
    <t>Guinea</t>
  </si>
  <si>
    <t>GP</t>
  </si>
  <si>
    <t>GLP</t>
  </si>
  <si>
    <t>Guadeloupe</t>
  </si>
  <si>
    <t>GM</t>
  </si>
  <si>
    <t>GMB</t>
  </si>
  <si>
    <t>Gambia</t>
  </si>
  <si>
    <t>GW</t>
  </si>
  <si>
    <t>GNB</t>
  </si>
  <si>
    <t>Guinea-Bissau</t>
  </si>
  <si>
    <t>GQ</t>
  </si>
  <si>
    <t>GNQ</t>
  </si>
  <si>
    <t>Equatorial Guinea</t>
  </si>
  <si>
    <t>GR</t>
  </si>
  <si>
    <t>GRC</t>
  </si>
  <si>
    <t>Greece</t>
  </si>
  <si>
    <t>GD</t>
  </si>
  <si>
    <t>GRD</t>
  </si>
  <si>
    <t>Grenada</t>
  </si>
  <si>
    <t>GL</t>
  </si>
  <si>
    <t>GRL</t>
  </si>
  <si>
    <t>Greenland</t>
  </si>
  <si>
    <t>GT</t>
  </si>
  <si>
    <t>GTM</t>
  </si>
  <si>
    <t>Guatemala</t>
  </si>
  <si>
    <t>GF</t>
  </si>
  <si>
    <t>GUF</t>
  </si>
  <si>
    <t>French Guiana</t>
  </si>
  <si>
    <t>GU</t>
  </si>
  <si>
    <t>GUM</t>
  </si>
  <si>
    <t>Guam</t>
  </si>
  <si>
    <t>GY</t>
  </si>
  <si>
    <t>GUY</t>
  </si>
  <si>
    <t>Guyana</t>
  </si>
  <si>
    <t>HK</t>
  </si>
  <si>
    <t>HKG</t>
  </si>
  <si>
    <t>HM</t>
  </si>
  <si>
    <t>HMD</t>
  </si>
  <si>
    <t>Heard Island and McDonald Islands</t>
  </si>
  <si>
    <t>HN</t>
  </si>
  <si>
    <t>HND</t>
  </si>
  <si>
    <t>Honduras</t>
  </si>
  <si>
    <t>HR</t>
  </si>
  <si>
    <t>HRV</t>
  </si>
  <si>
    <t>Croatia</t>
  </si>
  <si>
    <t>HT</t>
  </si>
  <si>
    <t>HTI</t>
  </si>
  <si>
    <t>Haiti</t>
  </si>
  <si>
    <t>HU</t>
  </si>
  <si>
    <t>HUN</t>
  </si>
  <si>
    <t>Hungary</t>
  </si>
  <si>
    <t>ID</t>
  </si>
  <si>
    <t>IDN</t>
  </si>
  <si>
    <t>Indonesia</t>
  </si>
  <si>
    <t>IM</t>
  </si>
  <si>
    <t>IMN</t>
  </si>
  <si>
    <t>Isle of Man</t>
  </si>
  <si>
    <t>IN</t>
  </si>
  <si>
    <t>IND</t>
  </si>
  <si>
    <t>India</t>
  </si>
  <si>
    <t>IO</t>
  </si>
  <si>
    <t>IOT</t>
  </si>
  <si>
    <t>British Indian Ocean Territory</t>
  </si>
  <si>
    <t>IE</t>
  </si>
  <si>
    <t>IRL</t>
  </si>
  <si>
    <t>Ireland</t>
  </si>
  <si>
    <t>IR</t>
  </si>
  <si>
    <t>IRN</t>
  </si>
  <si>
    <t>Iran (Islamic Republic of)</t>
  </si>
  <si>
    <t>IQ</t>
  </si>
  <si>
    <t>IRQ</t>
  </si>
  <si>
    <t>Iraq</t>
  </si>
  <si>
    <t>IS</t>
  </si>
  <si>
    <t>ISL</t>
  </si>
  <si>
    <t>Iceland</t>
  </si>
  <si>
    <t>IL</t>
  </si>
  <si>
    <t>ISR</t>
  </si>
  <si>
    <t>Israel</t>
  </si>
  <si>
    <t>IT</t>
  </si>
  <si>
    <t>ITA</t>
  </si>
  <si>
    <t>Italy</t>
  </si>
  <si>
    <t>JM</t>
  </si>
  <si>
    <t>JAM</t>
  </si>
  <si>
    <t>Jamaica</t>
  </si>
  <si>
    <t>JE</t>
  </si>
  <si>
    <t>JEY</t>
  </si>
  <si>
    <t>JO</t>
  </si>
  <si>
    <t>JOR</t>
  </si>
  <si>
    <t>Jordan</t>
  </si>
  <si>
    <t>JP</t>
  </si>
  <si>
    <t>JPN</t>
  </si>
  <si>
    <t>Japan</t>
  </si>
  <si>
    <t>KZ</t>
  </si>
  <si>
    <t>KAZ</t>
  </si>
  <si>
    <t>Kazakhstan</t>
  </si>
  <si>
    <t>KE</t>
  </si>
  <si>
    <t>KEN</t>
  </si>
  <si>
    <t>Kenya</t>
  </si>
  <si>
    <t>KG</t>
  </si>
  <si>
    <t>KGZ</t>
  </si>
  <si>
    <t>Kyrgyzstan</t>
  </si>
  <si>
    <t>KH</t>
  </si>
  <si>
    <t>KHM</t>
  </si>
  <si>
    <t>Cambodia</t>
  </si>
  <si>
    <t>KI</t>
  </si>
  <si>
    <t>KIR</t>
  </si>
  <si>
    <t>Kiribati</t>
  </si>
  <si>
    <t>KN</t>
  </si>
  <si>
    <t>KNA</t>
  </si>
  <si>
    <t>Saint Kitts and Nevis</t>
  </si>
  <si>
    <t>KR</t>
  </si>
  <si>
    <t>KOR</t>
  </si>
  <si>
    <t>Republic of Korea</t>
  </si>
  <si>
    <t>KW</t>
  </si>
  <si>
    <t>KWT</t>
  </si>
  <si>
    <t>Kuwait</t>
  </si>
  <si>
    <t>LA</t>
  </si>
  <si>
    <t>LAO</t>
  </si>
  <si>
    <t>LB</t>
  </si>
  <si>
    <t>LBN</t>
  </si>
  <si>
    <t>Lebanon</t>
  </si>
  <si>
    <t>LR</t>
  </si>
  <si>
    <t>LBR</t>
  </si>
  <si>
    <t>Liberia</t>
  </si>
  <si>
    <t>LY</t>
  </si>
  <si>
    <t>LBY</t>
  </si>
  <si>
    <t>Libya</t>
  </si>
  <si>
    <t>LC</t>
  </si>
  <si>
    <t>LCA</t>
  </si>
  <si>
    <t>Saint Lucia</t>
  </si>
  <si>
    <t>LI</t>
  </si>
  <si>
    <t>LIE</t>
  </si>
  <si>
    <t>Liechtenstein</t>
  </si>
  <si>
    <t>LK</t>
  </si>
  <si>
    <t>LKA</t>
  </si>
  <si>
    <t>Sri Lanka</t>
  </si>
  <si>
    <t>LS</t>
  </si>
  <si>
    <t>LSO</t>
  </si>
  <si>
    <t>Lesotho</t>
  </si>
  <si>
    <t>LT</t>
  </si>
  <si>
    <t>LTU</t>
  </si>
  <si>
    <t>Lithuania</t>
  </si>
  <si>
    <t>LU</t>
  </si>
  <si>
    <t>LUX</t>
  </si>
  <si>
    <t>Luxembourg</t>
  </si>
  <si>
    <t>LV</t>
  </si>
  <si>
    <t>LVA</t>
  </si>
  <si>
    <t>Latvia</t>
  </si>
  <si>
    <t>MO</t>
  </si>
  <si>
    <t>MAC</t>
  </si>
  <si>
    <t>MF</t>
  </si>
  <si>
    <t>MAF</t>
  </si>
  <si>
    <t>Saint Martin (French Part)</t>
  </si>
  <si>
    <t>MA</t>
  </si>
  <si>
    <t>MAR</t>
  </si>
  <si>
    <t>Morocco</t>
  </si>
  <si>
    <t>MC</t>
  </si>
  <si>
    <t>MCO</t>
  </si>
  <si>
    <t>Monaco</t>
  </si>
  <si>
    <t>MD</t>
  </si>
  <si>
    <t>MDA</t>
  </si>
  <si>
    <t>MG</t>
  </si>
  <si>
    <t>MDG</t>
  </si>
  <si>
    <t>Madagascar</t>
  </si>
  <si>
    <t>MV</t>
  </si>
  <si>
    <t>MDV</t>
  </si>
  <si>
    <t>Maldives</t>
  </si>
  <si>
    <t>MX</t>
  </si>
  <si>
    <t>MEX</t>
  </si>
  <si>
    <t>Mexico</t>
  </si>
  <si>
    <t>MH</t>
  </si>
  <si>
    <t>MHL</t>
  </si>
  <si>
    <t>Marshall Islands</t>
  </si>
  <si>
    <t>MK</t>
  </si>
  <si>
    <t>MKD</t>
  </si>
  <si>
    <t>ML</t>
  </si>
  <si>
    <t>MLI</t>
  </si>
  <si>
    <t>Mali</t>
  </si>
  <si>
    <t>MT</t>
  </si>
  <si>
    <t>MLT</t>
  </si>
  <si>
    <t>Malta</t>
  </si>
  <si>
    <t>MM</t>
  </si>
  <si>
    <t>MMR</t>
  </si>
  <si>
    <t>Myanmar</t>
  </si>
  <si>
    <t>ME</t>
  </si>
  <si>
    <t>MNE</t>
  </si>
  <si>
    <t>Montenegro</t>
  </si>
  <si>
    <t>MN</t>
  </si>
  <si>
    <t>MNG</t>
  </si>
  <si>
    <t>Mongolia</t>
  </si>
  <si>
    <t>MP</t>
  </si>
  <si>
    <t>MNP</t>
  </si>
  <si>
    <t>Northern Mariana Islands</t>
  </si>
  <si>
    <t>MZ</t>
  </si>
  <si>
    <t>MOZ</t>
  </si>
  <si>
    <t>Mozambique</t>
  </si>
  <si>
    <t>MR</t>
  </si>
  <si>
    <t>MRT</t>
  </si>
  <si>
    <t>Mauritania</t>
  </si>
  <si>
    <t>MS</t>
  </si>
  <si>
    <t>MSR</t>
  </si>
  <si>
    <t>Montserrat</t>
  </si>
  <si>
    <t>MQ</t>
  </si>
  <si>
    <t>MTQ</t>
  </si>
  <si>
    <t>Martinique</t>
  </si>
  <si>
    <t>MU</t>
  </si>
  <si>
    <t>MUS</t>
  </si>
  <si>
    <t>Mauritius</t>
  </si>
  <si>
    <t>MW</t>
  </si>
  <si>
    <t>MWI</t>
  </si>
  <si>
    <t>Malawi</t>
  </si>
  <si>
    <t>MY</t>
  </si>
  <si>
    <t>MYS</t>
  </si>
  <si>
    <t>Malaysia</t>
  </si>
  <si>
    <t>YT</t>
  </si>
  <si>
    <t>MYT</t>
  </si>
  <si>
    <t>Mayotte</t>
  </si>
  <si>
    <t>NAM</t>
  </si>
  <si>
    <t>Namibia</t>
  </si>
  <si>
    <t>NC</t>
  </si>
  <si>
    <t>NCL</t>
  </si>
  <si>
    <t>New Caledonia</t>
  </si>
  <si>
    <t>NE</t>
  </si>
  <si>
    <t>NER</t>
  </si>
  <si>
    <t>Niger</t>
  </si>
  <si>
    <t>NF</t>
  </si>
  <si>
    <t>NFK</t>
  </si>
  <si>
    <t>Norfolk Island</t>
  </si>
  <si>
    <t>NG</t>
  </si>
  <si>
    <t>NGA</t>
  </si>
  <si>
    <t>Nigeria</t>
  </si>
  <si>
    <t>NI</t>
  </si>
  <si>
    <t>NIC</t>
  </si>
  <si>
    <t>Nicaragua</t>
  </si>
  <si>
    <t>NU</t>
  </si>
  <si>
    <t>NIU</t>
  </si>
  <si>
    <t>Niue</t>
  </si>
  <si>
    <t>NL</t>
  </si>
  <si>
    <t>NLD</t>
  </si>
  <si>
    <t>Netherlands</t>
  </si>
  <si>
    <t>NOR</t>
  </si>
  <si>
    <t>Norway</t>
  </si>
  <si>
    <t>NP</t>
  </si>
  <si>
    <t>NPL</t>
  </si>
  <si>
    <t>Nepal</t>
  </si>
  <si>
    <t>NR</t>
  </si>
  <si>
    <t>NRU</t>
  </si>
  <si>
    <t>Nauru</t>
  </si>
  <si>
    <t>NZ</t>
  </si>
  <si>
    <t>NZL</t>
  </si>
  <si>
    <t>New Zealand</t>
  </si>
  <si>
    <t>OM</t>
  </si>
  <si>
    <t>OMN</t>
  </si>
  <si>
    <t>Oman</t>
  </si>
  <si>
    <t>PK</t>
  </si>
  <si>
    <t>PAK</t>
  </si>
  <si>
    <t>Pakistan</t>
  </si>
  <si>
    <t>PA</t>
  </si>
  <si>
    <t>PAN</t>
  </si>
  <si>
    <t>Panama</t>
  </si>
  <si>
    <t>PN</t>
  </si>
  <si>
    <t>PCN</t>
  </si>
  <si>
    <t>Pitcairn</t>
  </si>
  <si>
    <t>PE</t>
  </si>
  <si>
    <t>PER</t>
  </si>
  <si>
    <t>Peru</t>
  </si>
  <si>
    <t>PH</t>
  </si>
  <si>
    <t>PHL</t>
  </si>
  <si>
    <t>Philippines</t>
  </si>
  <si>
    <t>PW</t>
  </si>
  <si>
    <t>PLW</t>
  </si>
  <si>
    <t>Palau</t>
  </si>
  <si>
    <t>PG</t>
  </si>
  <si>
    <t>PNG</t>
  </si>
  <si>
    <t>Papua New Guinea</t>
  </si>
  <si>
    <t>PL</t>
  </si>
  <si>
    <t>POL</t>
  </si>
  <si>
    <t>Poland</t>
  </si>
  <si>
    <t>PR</t>
  </si>
  <si>
    <t>PRI</t>
  </si>
  <si>
    <t>Puerto Rico</t>
  </si>
  <si>
    <t>KP</t>
  </si>
  <si>
    <t>PRK</t>
  </si>
  <si>
    <t>Democratic People's Republic of Korea</t>
  </si>
  <si>
    <t>PT</t>
  </si>
  <si>
    <t>PRT</t>
  </si>
  <si>
    <t>Portugal</t>
  </si>
  <si>
    <t>PY</t>
  </si>
  <si>
    <t>PRY</t>
  </si>
  <si>
    <t>Paraguay</t>
  </si>
  <si>
    <t>PS</t>
  </si>
  <si>
    <t>PSE</t>
  </si>
  <si>
    <t>State of Palestine</t>
  </si>
  <si>
    <t>PF</t>
  </si>
  <si>
    <t>PYF</t>
  </si>
  <si>
    <t>French Polynesia</t>
  </si>
  <si>
    <t>QA</t>
  </si>
  <si>
    <t>QAT</t>
  </si>
  <si>
    <t>Qatar</t>
  </si>
  <si>
    <t>RE</t>
  </si>
  <si>
    <t>REU</t>
  </si>
  <si>
    <t>Reunion</t>
  </si>
  <si>
    <t>RO</t>
  </si>
  <si>
    <t>ROU</t>
  </si>
  <si>
    <t>Romania</t>
  </si>
  <si>
    <t>RU</t>
  </si>
  <si>
    <t>RUS</t>
  </si>
  <si>
    <t>RW</t>
  </si>
  <si>
    <t>RWA</t>
  </si>
  <si>
    <t>Rwanda</t>
  </si>
  <si>
    <t>SAU</t>
  </si>
  <si>
    <t>Saudi Arabia</t>
  </si>
  <si>
    <t>SD</t>
  </si>
  <si>
    <t>SDN</t>
  </si>
  <si>
    <t>Sudan</t>
  </si>
  <si>
    <t>SN</t>
  </si>
  <si>
    <t>SEN</t>
  </si>
  <si>
    <t>Senegal</t>
  </si>
  <si>
    <t>SG</t>
  </si>
  <si>
    <t>SGP</t>
  </si>
  <si>
    <t>Singapore</t>
  </si>
  <si>
    <t>GS</t>
  </si>
  <si>
    <t>SGS</t>
  </si>
  <si>
    <t>South Georgia and the South Sandwich Islands</t>
  </si>
  <si>
    <t>SH</t>
  </si>
  <si>
    <t>SHN</t>
  </si>
  <si>
    <t>Saint Helena</t>
  </si>
  <si>
    <t>SJ</t>
  </si>
  <si>
    <t>SJM</t>
  </si>
  <si>
    <t>Svalbard and Jan Mayen Islands</t>
  </si>
  <si>
    <t>SB</t>
  </si>
  <si>
    <t>SLB</t>
  </si>
  <si>
    <t>Solomon Islands</t>
  </si>
  <si>
    <t>SL</t>
  </si>
  <si>
    <t>SLE</t>
  </si>
  <si>
    <t>Sierra Leone</t>
  </si>
  <si>
    <t>SV</t>
  </si>
  <si>
    <t>SLV</t>
  </si>
  <si>
    <t>El Salvador</t>
  </si>
  <si>
    <t>SM</t>
  </si>
  <si>
    <t>SMR</t>
  </si>
  <si>
    <t>San Marino</t>
  </si>
  <si>
    <t>SO</t>
  </si>
  <si>
    <t>SOM</t>
  </si>
  <si>
    <t>Somalia</t>
  </si>
  <si>
    <t>PM</t>
  </si>
  <si>
    <t>SPM</t>
  </si>
  <si>
    <t>Saint Pierre and Miquelon</t>
  </si>
  <si>
    <t>RS</t>
  </si>
  <si>
    <t>SRB</t>
  </si>
  <si>
    <t>Serbia</t>
  </si>
  <si>
    <t>SS</t>
  </si>
  <si>
    <t>SSD</t>
  </si>
  <si>
    <t>South Sudan</t>
  </si>
  <si>
    <t>ST</t>
  </si>
  <si>
    <t>STP</t>
  </si>
  <si>
    <t>Sao Tome and Principe</t>
  </si>
  <si>
    <t>SR</t>
  </si>
  <si>
    <t>SUR</t>
  </si>
  <si>
    <t>Suriname</t>
  </si>
  <si>
    <t>SK</t>
  </si>
  <si>
    <t>SVK</t>
  </si>
  <si>
    <t>Slovakia</t>
  </si>
  <si>
    <t>SI</t>
  </si>
  <si>
    <t>SVN</t>
  </si>
  <si>
    <t>Slovenia</t>
  </si>
  <si>
    <t>SE</t>
  </si>
  <si>
    <t>SWE</t>
  </si>
  <si>
    <t>Sweden</t>
  </si>
  <si>
    <t>SZ</t>
  </si>
  <si>
    <t>SWZ</t>
  </si>
  <si>
    <t>Swaziland</t>
  </si>
  <si>
    <t>SX</t>
  </si>
  <si>
    <t>SXM</t>
  </si>
  <si>
    <t>SC</t>
  </si>
  <si>
    <t>SYC</t>
  </si>
  <si>
    <t>Seychelles</t>
  </si>
  <si>
    <t>SY</t>
  </si>
  <si>
    <t>SYR</t>
  </si>
  <si>
    <t>Syrian Arab Republic</t>
  </si>
  <si>
    <t>TC</t>
  </si>
  <si>
    <t>TCA</t>
  </si>
  <si>
    <t>Turks and Caicos Islands</t>
  </si>
  <si>
    <t>TD</t>
  </si>
  <si>
    <t>TCD</t>
  </si>
  <si>
    <t>Chad</t>
  </si>
  <si>
    <t>TG</t>
  </si>
  <si>
    <t>TGO</t>
  </si>
  <si>
    <t>Togo</t>
  </si>
  <si>
    <t>TH</t>
  </si>
  <si>
    <t>THA</t>
  </si>
  <si>
    <t>Thailand</t>
  </si>
  <si>
    <t>TJ</t>
  </si>
  <si>
    <t>TJK</t>
  </si>
  <si>
    <t>Tajikistan</t>
  </si>
  <si>
    <t>TK</t>
  </si>
  <si>
    <t>TKL</t>
  </si>
  <si>
    <t>Tokelau</t>
  </si>
  <si>
    <t>TM</t>
  </si>
  <si>
    <t>TKM</t>
  </si>
  <si>
    <t>Turkmenistan</t>
  </si>
  <si>
    <t>TL</t>
  </si>
  <si>
    <t>TLS</t>
  </si>
  <si>
    <t>Timor-Leste</t>
  </si>
  <si>
    <t>TO</t>
  </si>
  <si>
    <t>TON</t>
  </si>
  <si>
    <t>Tonga</t>
  </si>
  <si>
    <t>TT</t>
  </si>
  <si>
    <t>TTO</t>
  </si>
  <si>
    <t>Trinidad and Tobago</t>
  </si>
  <si>
    <t>TN</t>
  </si>
  <si>
    <t>TUN</t>
  </si>
  <si>
    <t>Tunisia</t>
  </si>
  <si>
    <t>TR</t>
  </si>
  <si>
    <t>TUR</t>
  </si>
  <si>
    <t>Turkey</t>
  </si>
  <si>
    <t>TV</t>
  </si>
  <si>
    <t>TUV</t>
  </si>
  <si>
    <t>Tuvalu</t>
  </si>
  <si>
    <t>TW</t>
  </si>
  <si>
    <t>TWN</t>
  </si>
  <si>
    <t>Taiwan, China</t>
  </si>
  <si>
    <t>TZ</t>
  </si>
  <si>
    <t>TZA</t>
  </si>
  <si>
    <t>Tanzania</t>
  </si>
  <si>
    <t>UG</t>
  </si>
  <si>
    <t>UGA</t>
  </si>
  <si>
    <t>Uganda</t>
  </si>
  <si>
    <t>UA</t>
  </si>
  <si>
    <t>UKR</t>
  </si>
  <si>
    <t>Ukraine</t>
  </si>
  <si>
    <t>UM</t>
  </si>
  <si>
    <t>UMI</t>
  </si>
  <si>
    <t>United States Minor Outlying Islands</t>
  </si>
  <si>
    <t>UY</t>
  </si>
  <si>
    <t>URY</t>
  </si>
  <si>
    <t>Uruguay</t>
  </si>
  <si>
    <t>US</t>
  </si>
  <si>
    <t>USA</t>
  </si>
  <si>
    <t>UZ</t>
  </si>
  <si>
    <t>UZB</t>
  </si>
  <si>
    <t>Uzbekistan</t>
  </si>
  <si>
    <t>VA</t>
  </si>
  <si>
    <t>VAT</t>
  </si>
  <si>
    <t>Holy See</t>
  </si>
  <si>
    <t>VC</t>
  </si>
  <si>
    <t>VCT</t>
  </si>
  <si>
    <t>VE</t>
  </si>
  <si>
    <t>VEN</t>
  </si>
  <si>
    <t>VG</t>
  </si>
  <si>
    <t>VGB</t>
  </si>
  <si>
    <t>British Virgin Islands</t>
  </si>
  <si>
    <t>VI</t>
  </si>
  <si>
    <t>VIR</t>
  </si>
  <si>
    <t>United States Virgin Islands</t>
  </si>
  <si>
    <t>VN</t>
  </si>
  <si>
    <t>VNM</t>
  </si>
  <si>
    <t>Vietnam</t>
  </si>
  <si>
    <t>VU</t>
  </si>
  <si>
    <t>VUT</t>
  </si>
  <si>
    <t>Vanuatu</t>
  </si>
  <si>
    <t>WF</t>
  </si>
  <si>
    <t>WLF</t>
  </si>
  <si>
    <t>Wallis and Futuna Islands</t>
  </si>
  <si>
    <t>WS</t>
  </si>
  <si>
    <t>WSM</t>
  </si>
  <si>
    <t>Samoa</t>
  </si>
  <si>
    <t>XK</t>
  </si>
  <si>
    <t>XKX</t>
  </si>
  <si>
    <t>Kosovo, Republic of</t>
  </si>
  <si>
    <t>YE</t>
  </si>
  <si>
    <t>YEM</t>
  </si>
  <si>
    <t>Yemen</t>
  </si>
  <si>
    <t>ZA</t>
  </si>
  <si>
    <t>ZAF</t>
  </si>
  <si>
    <t>South Africa</t>
  </si>
  <si>
    <t>ZM</t>
  </si>
  <si>
    <t>ZMB</t>
  </si>
  <si>
    <t>Zambia</t>
  </si>
  <si>
    <t>ZW</t>
  </si>
  <si>
    <t>ZWE</t>
  </si>
  <si>
    <t>Zimbabwe</t>
  </si>
  <si>
    <t>Sheet</t>
  </si>
  <si>
    <t>Source</t>
  </si>
  <si>
    <t>Global Risk-Free Rate</t>
  </si>
  <si>
    <t>Implied ERP (FCFE)</t>
  </si>
  <si>
    <t>Year</t>
  </si>
  <si>
    <t>Economy</t>
  </si>
  <si>
    <t>Code</t>
  </si>
  <si>
    <t>Region</t>
  </si>
  <si>
    <t>Income group</t>
  </si>
  <si>
    <t>Lending category</t>
  </si>
  <si>
    <t>South Asia</t>
  </si>
  <si>
    <t>Low income</t>
  </si>
  <si>
    <t>IDA</t>
  </si>
  <si>
    <t>Europe &amp; Central Asia</t>
  </si>
  <si>
    <t>Upper middle income</t>
  </si>
  <si>
    <t>IBRD</t>
  </si>
  <si>
    <t>Middle East &amp; North Africa</t>
  </si>
  <si>
    <t>East Asia &amp; Pacific</t>
  </si>
  <si>
    <t>High income</t>
  </si>
  <si>
    <t>Sub-Saharan Africa</t>
  </si>
  <si>
    <t>Lower middle income</t>
  </si>
  <si>
    <t>Latin America &amp; Caribbean</t>
  </si>
  <si>
    <t>Blend</t>
  </si>
  <si>
    <t>North America</t>
  </si>
  <si>
    <t>Bolivia</t>
  </si>
  <si>
    <t>CHI</t>
  </si>
  <si>
    <t>Gambia, The</t>
  </si>
  <si>
    <t>Iran, Islamic Rep.</t>
  </si>
  <si>
    <t>Kosovo</t>
  </si>
  <si>
    <t>Micronesia, Fed. Sts.</t>
  </si>
  <si>
    <t>Moldova</t>
  </si>
  <si>
    <t>São Tomé and Príncipe</t>
  </si>
  <si>
    <t>St. Kitts and Nevis</t>
  </si>
  <si>
    <t>St. Lucia</t>
  </si>
  <si>
    <t>St. Martin (French part)</t>
  </si>
  <si>
    <t>Venezuela</t>
  </si>
  <si>
    <t>Virgin Islands (U.S.)</t>
  </si>
  <si>
    <t>West Bank and Gaza</t>
  </si>
  <si>
    <t>Country Default Spread</t>
  </si>
  <si>
    <t>Country</t>
  </si>
  <si>
    <t>Abu Dhabi</t>
  </si>
  <si>
    <t>Andorra (Principality of)</t>
  </si>
  <si>
    <t>Cape Verde</t>
  </si>
  <si>
    <t>Congo (Democratic Republic of)</t>
  </si>
  <si>
    <t>Congo (Republic of)</t>
  </si>
  <si>
    <t>Guernsey (States of)</t>
  </si>
  <si>
    <t>Hong Kong</t>
  </si>
  <si>
    <t>Jersey (States of)</t>
  </si>
  <si>
    <t>Laos</t>
  </si>
  <si>
    <t>Macao</t>
  </si>
  <si>
    <t>Macedonia</t>
  </si>
  <si>
    <t>Ras Al Khaimah (Emirate of)</t>
  </si>
  <si>
    <t>Sharjah</t>
  </si>
  <si>
    <t>St. Maarten</t>
  </si>
  <si>
    <t>St. Vincent &amp; the Grenadines</t>
  </si>
  <si>
    <t>Korea, D.P.R.</t>
  </si>
  <si>
    <t>Russia</t>
  </si>
  <si>
    <t>No data</t>
  </si>
  <si>
    <t>Solar PV</t>
  </si>
  <si>
    <t>Wind Onshore</t>
  </si>
  <si>
    <t>Wind Offshore</t>
  </si>
  <si>
    <t>Lower bound</t>
  </si>
  <si>
    <t>Upper bound</t>
  </si>
  <si>
    <t>Upper 
bound</t>
  </si>
  <si>
    <t>Lower 
bound</t>
  </si>
  <si>
    <t>Technology / 
Region</t>
  </si>
  <si>
    <t>Authors: Wildgruber K., Thompson C., Egli F.</t>
  </si>
  <si>
    <t>Country:</t>
  </si>
  <si>
    <t>Year:</t>
  </si>
  <si>
    <t>Technology:</t>
  </si>
  <si>
    <t>Technology</t>
  </si>
  <si>
    <t>Cote d’Ivoire</t>
  </si>
  <si>
    <t>Authorship and Sources</t>
  </si>
  <si>
    <t>Last updated: October, 23, 2025</t>
  </si>
  <si>
    <t>For sources of displayed data please refer to the sheet "Source Sheet"</t>
  </si>
  <si>
    <t>Selection</t>
  </si>
  <si>
    <t>Risk-free rate (RFR)</t>
  </si>
  <si>
    <t>Infrastructure premium (PI)</t>
  </si>
  <si>
    <t>Country default spread (S)</t>
  </si>
  <si>
    <t>Tax Rate</t>
  </si>
  <si>
    <t>Debt Share</t>
  </si>
  <si>
    <t>Publication: Wildgruber et al. (2025): An empirically validated open-access approach for calculating the cost of capital of renewables. Energy Strategy Review. Currently under review.</t>
  </si>
  <si>
    <t>Please select country, year and technology of interest (drop down):</t>
  </si>
  <si>
    <t>Note: Please refer to publication (Wildgruber et al., 2025, Table 1 Appendix for infrastructure premium options</t>
  </si>
  <si>
    <t>Static infrastructure premium</t>
  </si>
  <si>
    <t>Static debt share</t>
  </si>
  <si>
    <t>Output</t>
  </si>
  <si>
    <t>Cost of debt (KD) - upper limit</t>
  </si>
  <si>
    <t>Cost of equity (KE) - upper limit</t>
  </si>
  <si>
    <t>Cost of debt (KD) - lower limit</t>
  </si>
  <si>
    <t>Cost of equity (KE) - lower limit</t>
  </si>
  <si>
    <t>WACC - upper limit</t>
  </si>
  <si>
    <t>WACC - lower limit</t>
  </si>
  <si>
    <t>Tax rate (T)</t>
  </si>
  <si>
    <t>Equity risk premium (PE)</t>
  </si>
  <si>
    <t>Country premium (PC)</t>
  </si>
  <si>
    <t>Debt share (L)</t>
  </si>
  <si>
    <t>Technology x Region Matrix</t>
  </si>
  <si>
    <t>Lower bound (OLS regression) and upper bound (Best fit algorithm)</t>
  </si>
  <si>
    <t>Constant term</t>
  </si>
  <si>
    <t>Note that  ‘Europe &amp; Central Asia’ as well as ‘Solar PV’ serve as baseline categories and hence have no individual coefficient in the OLS regression.</t>
  </si>
  <si>
    <t>Technology premium (PT) - upper limit</t>
  </si>
  <si>
    <t>Region premium (PR) - upper limit</t>
  </si>
  <si>
    <t>Technology premium (PT) - lower limit</t>
  </si>
  <si>
    <t>Region premium (PR) - lower limit</t>
  </si>
  <si>
    <t>UAE</t>
  </si>
  <si>
    <t>Equity Risk Premium</t>
  </si>
  <si>
    <t>Country Premium</t>
  </si>
  <si>
    <t>Infrastructure Premium</t>
  </si>
  <si>
    <t>Region and Tech Premium</t>
  </si>
  <si>
    <t>World Regions</t>
  </si>
  <si>
    <t xml:space="preserve">Damodaran A. Historical Implied Equity Risk Premia 2025. https://pages.stern.nyu.edu/~adamodar/New_Home_Page/datafile/histimpl.html (accessed March 7, 2025). </t>
  </si>
  <si>
    <t xml:space="preserve">Macrotrends. 10 Year Treasury Rate - 54 Year Historical Chart | MacroTrends 2025. https://www.macrotrends.net/2016/10-year-treasury-bond-rate-yield-chart (accessed March 12, 2025). </t>
  </si>
  <si>
    <t>Tax Foundation. Corporate Tax Rates Around the World, 2024 2024. https://taxfoundation.org/data/all/global/corporate-tax-rates-by-country-2024/ (accessed March 12, 2025).</t>
  </si>
  <si>
    <t xml:space="preserve">Damodaran A. Country Default Spreads and Risk Premia 2025. https://pages.stern.nyu.edu/~adamodar/New_Home_Page/datafile/ctryprem.html (accessed March 12, 2025). </t>
  </si>
  <si>
    <t>Wildgruber et al. An empirically validated open-access approach for calculating the cost of capital of renewables. 2025. Energy Strategy Reviews. Under Review.</t>
  </si>
  <si>
    <t xml:space="preserve">Calculation assumption, based on: IRENA. The cost of financing for renewable power 2023. </t>
  </si>
  <si>
    <t xml:space="preserve">Dataset average, calculation based on: World Bank. WDI - The World by Income and Region 2023. https://datatopics.worldbank.org/world-development-indicators/the-world-by-income-and-region.html (accessed March 10, 2025); EDHEC Infrastructure Institute-Singapore. The Pricing of Private Infrastructure Debt - A Dynamic Approach and Comparison with Corporate Debt. 2019; IRENA. Country Rankings 2024. https://www.irena.org/Data/View-data-by-topic/Capacity-and-Generation/Country-Rankings (accessed March 12, 2025). </t>
  </si>
  <si>
    <t xml:space="preserve">World Bank. WDI - The World by Income and Region 2023. https://datatopics.worldbank.org/world-development-indicators/the-world-by-income-and-region.html (accessed March 10, 2025).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</si>
</sst>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8" formatCode="0.0%"/>
    <numFmt numFmtId="169" formatCode="0.0"/>
    <numFmt numFmtId="173" formatCode="0.0000"/>
  </numFmts>
  <fonts count="26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9.8000000000000007"/>
      <color rgb="FF6AAB73"/>
      <name val="JetBrains Mono"/>
      <family val="3"/>
    </font>
    <font>
      <sz val="11"/>
      <name val="Aptos Narrow"/>
      <family val="2"/>
      <scheme val="minor"/>
    </font>
    <font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</font>
    <font>
      <b/>
      <sz val="12"/>
      <color theme="0"/>
      <name val="Aptos Narrow"/>
    </font>
    <font>
      <b/>
      <sz val="12"/>
      <color theme="1"/>
      <name val="Aptos Narrow"/>
    </font>
    <font>
      <i/>
      <sz val="12"/>
      <color theme="1"/>
      <name val="Aptos Narrow"/>
    </font>
    <font>
      <sz val="12"/>
      <color rgb="FF3F3F76"/>
      <name val="Aptos Narrow"/>
    </font>
    <font>
      <b/>
      <sz val="12"/>
      <color rgb="FF3F3F3F"/>
      <name val="Aptos Narrow"/>
    </font>
    <font>
      <sz val="12"/>
      <name val="Aptos Narrow"/>
    </font>
    <font>
      <sz val="12"/>
      <color rgb="FF000000"/>
      <name val="Aptos Narrow"/>
    </font>
    <font>
      <i/>
      <sz val="12"/>
      <name val="Aptos Narrow"/>
    </font>
    <font>
      <b/>
      <sz val="12"/>
      <name val="Calibri"/>
      <family val="2"/>
    </font>
    <font>
      <b/>
      <sz val="12"/>
      <name val="Aptos Narrow"/>
    </font>
    <font>
      <b/>
      <sz val="12"/>
      <color rgb="FF000000"/>
      <name val="Aptos Narrow"/>
    </font>
    <font>
      <b/>
      <sz val="11"/>
      <color theme="1"/>
      <name val="Aptos Narrow"/>
      <scheme val="minor"/>
    </font>
    <font>
      <i/>
      <sz val="11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3" fillId="3" borderId="2" applyNumberFormat="0" applyAlignment="0" applyProtection="0"/>
    <xf numFmtId="0" fontId="1" fillId="4" borderId="3" applyNumberFormat="0" applyFont="0" applyAlignment="0" applyProtection="0"/>
    <xf numFmtId="0" fontId="4" fillId="0" borderId="0"/>
    <xf numFmtId="0" fontId="6" fillId="0" borderId="0"/>
  </cellStyleXfs>
  <cellXfs count="70">
    <xf numFmtId="0" fontId="0" fillId="0" borderId="0" xfId="0"/>
    <xf numFmtId="0" fontId="4" fillId="0" borderId="0" xfId="5"/>
    <xf numFmtId="0" fontId="5" fillId="0" borderId="0" xfId="0" applyFont="1"/>
    <xf numFmtId="0" fontId="7" fillId="0" borderId="0" xfId="6" applyFont="1" applyFill="1"/>
    <xf numFmtId="0" fontId="6" fillId="0" borderId="0" xfId="6" applyFill="1"/>
    <xf numFmtId="0" fontId="8" fillId="0" borderId="0" xfId="6" applyFont="1" applyFill="1"/>
    <xf numFmtId="0" fontId="9" fillId="0" borderId="0" xfId="6" applyFont="1" applyFill="1"/>
    <xf numFmtId="0" fontId="0" fillId="0" borderId="0" xfId="0" applyBorder="1"/>
    <xf numFmtId="0" fontId="5" fillId="0" borderId="12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0" xfId="0" applyFont="1" applyBorder="1"/>
    <xf numFmtId="0" fontId="0" fillId="0" borderId="0" xfId="0" applyBorder="1" applyAlignment="1">
      <alignment wrapText="1"/>
    </xf>
    <xf numFmtId="0" fontId="5" fillId="0" borderId="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3" xfId="0" applyFont="1" applyBorder="1" applyAlignment="1">
      <alignment wrapText="1"/>
    </xf>
    <xf numFmtId="0" fontId="5" fillId="0" borderId="14" xfId="0" applyFont="1" applyBorder="1" applyAlignment="1">
      <alignment wrapText="1"/>
    </xf>
    <xf numFmtId="0" fontId="5" fillId="0" borderId="15" xfId="0" applyFont="1" applyBorder="1" applyAlignment="1">
      <alignment wrapText="1"/>
    </xf>
    <xf numFmtId="0" fontId="5" fillId="0" borderId="9" xfId="0" applyFont="1" applyBorder="1" applyAlignment="1">
      <alignment horizontal="center"/>
    </xf>
    <xf numFmtId="0" fontId="5" fillId="0" borderId="13" xfId="0" applyFont="1" applyBorder="1" applyAlignment="1">
      <alignment horizontal="left" vertical="top" wrapText="1"/>
    </xf>
    <xf numFmtId="0" fontId="5" fillId="0" borderId="15" xfId="0" applyFont="1" applyBorder="1" applyAlignment="1">
      <alignment horizontal="left" vertical="top" wrapText="1"/>
    </xf>
    <xf numFmtId="168" fontId="10" fillId="0" borderId="6" xfId="1" applyNumberFormat="1" applyFont="1" applyBorder="1"/>
    <xf numFmtId="168" fontId="10" fillId="0" borderId="7" xfId="1" applyNumberFormat="1" applyFont="1" applyBorder="1"/>
    <xf numFmtId="168" fontId="10" fillId="0" borderId="0" xfId="1" applyNumberFormat="1" applyFont="1" applyBorder="1"/>
    <xf numFmtId="168" fontId="10" fillId="0" borderId="9" xfId="1" applyNumberFormat="1" applyFont="1" applyBorder="1"/>
    <xf numFmtId="168" fontId="10" fillId="0" borderId="11" xfId="1" applyNumberFormat="1" applyFont="1" applyBorder="1"/>
    <xf numFmtId="168" fontId="10" fillId="0" borderId="12" xfId="1" applyNumberFormat="1" applyFont="1" applyBorder="1"/>
    <xf numFmtId="9" fontId="0" fillId="4" borderId="3" xfId="4" applyNumberFormat="1" applyFont="1"/>
    <xf numFmtId="169" fontId="4" fillId="0" borderId="0" xfId="5" applyNumberFormat="1"/>
    <xf numFmtId="0" fontId="0" fillId="0" borderId="0" xfId="0" applyFill="1" applyBorder="1"/>
    <xf numFmtId="0" fontId="12" fillId="5" borderId="0" xfId="0" applyFont="1" applyFill="1"/>
    <xf numFmtId="0" fontId="13" fillId="5" borderId="0" xfId="0" applyFont="1" applyFill="1"/>
    <xf numFmtId="0" fontId="12" fillId="0" borderId="0" xfId="0" applyFont="1"/>
    <xf numFmtId="0" fontId="14" fillId="6" borderId="0" xfId="0" applyFont="1" applyFill="1"/>
    <xf numFmtId="0" fontId="15" fillId="0" borderId="0" xfId="0" applyFont="1"/>
    <xf numFmtId="0" fontId="14" fillId="0" borderId="0" xfId="0" applyFont="1"/>
    <xf numFmtId="0" fontId="12" fillId="0" borderId="0" xfId="0" applyFont="1" applyFill="1" applyBorder="1"/>
    <xf numFmtId="10" fontId="20" fillId="0" borderId="0" xfId="0" applyNumberFormat="1" applyFont="1" applyFill="1" applyBorder="1" applyAlignment="1">
      <alignment horizontal="left"/>
    </xf>
    <xf numFmtId="0" fontId="1" fillId="0" borderId="0" xfId="5" applyFont="1" applyBorder="1"/>
    <xf numFmtId="0" fontId="1" fillId="0" borderId="0" xfId="5" applyFont="1" applyBorder="1" applyAlignment="1">
      <alignment horizontal="left"/>
    </xf>
    <xf numFmtId="0" fontId="21" fillId="0" borderId="0" xfId="5" applyFont="1" applyBorder="1" applyAlignment="1">
      <alignment horizontal="left" vertical="top"/>
    </xf>
    <xf numFmtId="0" fontId="12" fillId="0" borderId="0" xfId="0" applyFont="1" applyFill="1" applyBorder="1" applyAlignment="1">
      <alignment horizontal="left"/>
    </xf>
    <xf numFmtId="10" fontId="12" fillId="0" borderId="0" xfId="0" applyNumberFormat="1" applyFont="1" applyFill="1" applyBorder="1" applyAlignment="1">
      <alignment horizontal="left"/>
    </xf>
    <xf numFmtId="0" fontId="18" fillId="0" borderId="0" xfId="0" applyFont="1" applyFill="1" applyBorder="1" applyAlignment="1">
      <alignment horizontal="left" vertical="center"/>
    </xf>
    <xf numFmtId="10" fontId="19" fillId="0" borderId="0" xfId="0" applyNumberFormat="1" applyFont="1" applyFill="1" applyBorder="1" applyAlignment="1">
      <alignment horizontal="left" vertical="center"/>
    </xf>
    <xf numFmtId="1" fontId="18" fillId="0" borderId="0" xfId="0" applyNumberFormat="1" applyFont="1" applyFill="1" applyBorder="1" applyAlignment="1">
      <alignment horizontal="left" vertical="center"/>
    </xf>
    <xf numFmtId="1" fontId="18" fillId="0" borderId="0" xfId="0" applyNumberFormat="1" applyFont="1" applyFill="1" applyBorder="1" applyAlignment="1">
      <alignment horizontal="left"/>
    </xf>
    <xf numFmtId="10" fontId="19" fillId="0" borderId="0" xfId="0" applyNumberFormat="1" applyFont="1" applyFill="1" applyBorder="1" applyAlignment="1">
      <alignment horizontal="left"/>
    </xf>
    <xf numFmtId="0" fontId="18" fillId="0" borderId="0" xfId="0" applyFont="1" applyFill="1" applyBorder="1" applyAlignment="1">
      <alignment horizontal="left"/>
    </xf>
    <xf numFmtId="0" fontId="14" fillId="0" borderId="0" xfId="0" applyFont="1" applyFill="1" applyBorder="1" applyAlignment="1">
      <alignment horizontal="left"/>
    </xf>
    <xf numFmtId="0" fontId="22" fillId="0" borderId="0" xfId="0" applyFont="1" applyFill="1" applyBorder="1" applyAlignment="1">
      <alignment horizontal="left" vertical="center"/>
    </xf>
    <xf numFmtId="10" fontId="23" fillId="0" borderId="0" xfId="0" applyNumberFormat="1" applyFont="1" applyFill="1" applyBorder="1" applyAlignment="1">
      <alignment horizontal="left" vertical="center"/>
    </xf>
    <xf numFmtId="0" fontId="24" fillId="0" borderId="0" xfId="5" applyFont="1"/>
    <xf numFmtId="173" fontId="1" fillId="0" borderId="0" xfId="5" applyNumberFormat="1" applyFont="1" applyBorder="1" applyAlignment="1">
      <alignment horizontal="left"/>
    </xf>
    <xf numFmtId="0" fontId="12" fillId="0" borderId="0" xfId="0" applyFont="1" applyAlignment="1">
      <alignment horizontal="center" vertical="center"/>
    </xf>
    <xf numFmtId="10" fontId="17" fillId="3" borderId="2" xfId="1" applyNumberFormat="1" applyFont="1" applyFill="1" applyBorder="1" applyAlignment="1">
      <alignment horizontal="center" vertical="center"/>
    </xf>
    <xf numFmtId="0" fontId="3" fillId="3" borderId="2" xfId="3" applyAlignment="1">
      <alignment horizontal="center" vertical="center"/>
    </xf>
    <xf numFmtId="0" fontId="16" fillId="2" borderId="1" xfId="2" applyFont="1" applyAlignment="1">
      <alignment horizontal="center" vertical="center"/>
    </xf>
    <xf numFmtId="10" fontId="17" fillId="3" borderId="2" xfId="3" applyNumberFormat="1" applyFont="1" applyAlignment="1">
      <alignment horizontal="center" vertical="center"/>
    </xf>
    <xf numFmtId="0" fontId="14" fillId="0" borderId="0" xfId="0" applyFont="1" applyFill="1"/>
    <xf numFmtId="0" fontId="10" fillId="0" borderId="0" xfId="0" applyFont="1" applyBorder="1" applyAlignment="1"/>
    <xf numFmtId="0" fontId="10" fillId="0" borderId="0" xfId="0" applyFont="1" applyBorder="1"/>
    <xf numFmtId="0" fontId="10" fillId="0" borderId="0" xfId="0" applyFont="1" applyBorder="1" applyAlignment="1">
      <alignment horizontal="left"/>
    </xf>
    <xf numFmtId="0" fontId="5" fillId="0" borderId="4" xfId="0" applyFont="1" applyBorder="1" applyAlignment="1">
      <alignment horizontal="center"/>
    </xf>
    <xf numFmtId="173" fontId="0" fillId="0" borderId="0" xfId="1" applyNumberFormat="1" applyFont="1" applyBorder="1"/>
    <xf numFmtId="0" fontId="11" fillId="0" borderId="0" xfId="0" applyFont="1" applyBorder="1"/>
    <xf numFmtId="0" fontId="25" fillId="0" borderId="0" xfId="0" applyFont="1"/>
    <xf numFmtId="0" fontId="5" fillId="0" borderId="13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</cellXfs>
  <cellStyles count="7">
    <cellStyle name="Input" xfId="2" builtinId="20"/>
    <cellStyle name="Normal" xfId="0" builtinId="0"/>
    <cellStyle name="Normal 2" xfId="5" xr:uid="{9A78B1E2-7BAF-F041-A89D-B6D142B00EBA}"/>
    <cellStyle name="Normal 3" xfId="6" xr:uid="{7B7873B4-8D89-CB44-8CFF-68386A02BFDD}"/>
    <cellStyle name="Note" xfId="4" builtinId="10"/>
    <cellStyle name="Output" xfId="3" builtinId="21"/>
    <cellStyle name="Percent" xfId="1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wildgruberkatharina/PycharmProjects/pythonCoC/Worldbank%20Regions.xlsx" TargetMode="External"/><Relationship Id="rId1" Type="http://schemas.openxmlformats.org/officeDocument/2006/relationships/externalLinkPath" Target="/Users/wildgruberkatharina/PycharmProjects/pythonCoC/Worldbank%20Reg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 of economies"/>
      <sheetName val="compositions"/>
      <sheetName val="Notes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3AD2D-93AB-0F45-9F02-D6E21C998C49}">
  <sheetPr>
    <tabColor theme="6"/>
  </sheetPr>
  <dimension ref="A3:S45"/>
  <sheetViews>
    <sheetView zoomScale="120" zoomScaleNormal="120" workbookViewId="0">
      <selection activeCell="F28" sqref="F28"/>
    </sheetView>
  </sheetViews>
  <sheetFormatPr baseColWidth="10" defaultRowHeight="16"/>
  <cols>
    <col min="1" max="1" width="2.83203125" style="32" customWidth="1"/>
    <col min="2" max="2" width="43.83203125" style="32" customWidth="1"/>
    <col min="3" max="3" width="26" style="32" customWidth="1"/>
    <col min="4" max="16384" width="10.83203125" style="32"/>
  </cols>
  <sheetData>
    <row r="3" spans="1:19">
      <c r="A3" s="30"/>
      <c r="B3" s="31" t="str" cm="1">
        <f t="array" aca="1" ref="B3" ca="1">MID(CELL("filename", A1), FIND("]", CELL("filename", A1)) + 1, 255)</f>
        <v>WACC Tool</v>
      </c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</row>
    <row r="5" spans="1:19">
      <c r="B5" s="33" t="s">
        <v>814</v>
      </c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</row>
    <row r="7" spans="1:19">
      <c r="B7" s="34" t="s">
        <v>808</v>
      </c>
    </row>
    <row r="8" spans="1:19">
      <c r="B8" s="34" t="s">
        <v>823</v>
      </c>
    </row>
    <row r="9" spans="1:19">
      <c r="B9" s="34" t="s">
        <v>816</v>
      </c>
    </row>
    <row r="11" spans="1:19">
      <c r="B11" s="34" t="s">
        <v>815</v>
      </c>
    </row>
    <row r="14" spans="1:19">
      <c r="B14" s="33" t="s">
        <v>817</v>
      </c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</row>
    <row r="16" spans="1:19">
      <c r="B16" s="32" t="s">
        <v>824</v>
      </c>
    </row>
    <row r="18" spans="2:19">
      <c r="B18" s="32" t="s">
        <v>809</v>
      </c>
      <c r="C18" s="57" t="s">
        <v>580</v>
      </c>
    </row>
    <row r="19" spans="2:19">
      <c r="B19" s="32" t="s">
        <v>810</v>
      </c>
      <c r="C19" s="57">
        <v>2023</v>
      </c>
    </row>
    <row r="20" spans="2:19">
      <c r="B20" s="32" t="s">
        <v>811</v>
      </c>
      <c r="C20" s="57" t="s">
        <v>800</v>
      </c>
    </row>
    <row r="23" spans="2:19">
      <c r="B23" s="33" t="s">
        <v>828</v>
      </c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</row>
    <row r="25" spans="2:19">
      <c r="B25" s="35" t="s">
        <v>833</v>
      </c>
      <c r="C25" s="55">
        <f>IFERROR((C28*C43+C30*(1-C43)), "No data")</f>
        <v>8.4187299999999993E-2</v>
      </c>
    </row>
    <row r="26" spans="2:19">
      <c r="B26" s="35" t="s">
        <v>834</v>
      </c>
      <c r="C26" s="55">
        <f>IFERROR((C29*C43+C31*(1-C43)),"No data")</f>
        <v>7.3200599999999991E-2</v>
      </c>
    </row>
    <row r="27" spans="2:19">
      <c r="C27" s="54"/>
    </row>
    <row r="28" spans="2:19">
      <c r="B28" s="32" t="s">
        <v>829</v>
      </c>
      <c r="C28" s="58">
        <f>IFERROR((C33+C34+C35+C41)*(1-C36), "No data")</f>
        <v>6.9138999999999992E-2</v>
      </c>
    </row>
    <row r="29" spans="2:19">
      <c r="B29" s="32" t="s">
        <v>831</v>
      </c>
      <c r="C29" s="58">
        <f>IFERROR((C33+C34+C35+C42)*(1-C36), "No data")</f>
        <v>6.0257999999999992E-2</v>
      </c>
    </row>
    <row r="30" spans="2:19">
      <c r="B30" s="32" t="s">
        <v>830</v>
      </c>
      <c r="C30" s="58">
        <f>IFERROR((C33+C37+C38+C39+C41), "Nodata")</f>
        <v>0.11929999999999999</v>
      </c>
    </row>
    <row r="31" spans="2:19">
      <c r="B31" s="32" t="s">
        <v>832</v>
      </c>
      <c r="C31" s="58">
        <f>IFERROR((C33+C37+C38+C40+C42), "No data")</f>
        <v>0.10339999999999999</v>
      </c>
    </row>
    <row r="32" spans="2:19">
      <c r="C32" s="54"/>
    </row>
    <row r="33" spans="2:3">
      <c r="B33" s="32" t="s">
        <v>818</v>
      </c>
      <c r="C33" s="55">
        <f>IFERROR(_xlfn.XLOOKUP(C19,'Global Risk Free Rate'!B6:B21,'Global Risk Free Rate'!C6:C21,0,0,1), "No data")</f>
        <v>3.73E-2</v>
      </c>
    </row>
    <row r="34" spans="2:3">
      <c r="B34" s="32" t="s">
        <v>820</v>
      </c>
      <c r="C34" s="55" cm="1">
        <f t="array" ref="C34">IFERROR(INDEX('Country Default Spread'!C6:R162,_xlfn.XMATCH(C18,'Country Default Spread'!B6:B162),_xlfn.XMATCH(C19,'Country Default Spread'!C5:R5)), "No data")</f>
        <v>0</v>
      </c>
    </row>
    <row r="35" spans="2:3">
      <c r="B35" s="32" t="s">
        <v>819</v>
      </c>
      <c r="C35" s="55">
        <f>'Infrastructure Premium'!C5</f>
        <v>0.02</v>
      </c>
    </row>
    <row r="36" spans="2:3">
      <c r="B36" s="32" t="s">
        <v>835</v>
      </c>
      <c r="C36" s="55" cm="1">
        <f t="array" ref="C36">IFERROR(INDEX('Tax Rate'!F6:AW256,_xlfn.XMATCH(C18,'Tax Rate'!E6:E256),_xlfn.XMATCH(C19,'Tax Rate'!F5:AW5))/100, "No data")</f>
        <v>0.17</v>
      </c>
    </row>
    <row r="37" spans="2:3">
      <c r="B37" s="32" t="s">
        <v>836</v>
      </c>
      <c r="C37" s="55">
        <f>IFERROR(_xlfn.XLOOKUP($C$19,'Equity Risk Premium'!$B$6:$B$68,'Equity Risk Premium'!$C$6:$C$68,0,0,1), "No data")</f>
        <v>4.5999999999999999E-2</v>
      </c>
    </row>
    <row r="38" spans="2:3">
      <c r="B38" s="32" t="s">
        <v>837</v>
      </c>
      <c r="C38" s="55" cm="1">
        <f t="array" ref="C38">IFERROR(INDEX('Country Premium'!C6:R162,_xlfn.XMATCH(C18,'Country Premium'!B6:B162),_xlfn.XMATCH(C19,'Country Premium'!C5:R5)), "No data")</f>
        <v>0</v>
      </c>
    </row>
    <row r="39" spans="2:3">
      <c r="B39" s="32" t="s">
        <v>843</v>
      </c>
      <c r="C39" s="55">
        <f>IFERROR(_xlfn.XLOOKUP(C20,'Region and Tech Premium'!B26:B28,'Region and Tech Premium'!D26:D28,0,0,1), "No data")</f>
        <v>0.01</v>
      </c>
    </row>
    <row r="40" spans="2:3">
      <c r="B40" s="32" t="s">
        <v>845</v>
      </c>
      <c r="C40" s="55">
        <f>IFERROR(SUM(_xlfn.XLOOKUP(C20,'Region and Tech Premium'!F26:F28,'Region and Tech Premium'!H26:H28,0,0,1),'Region and Tech Premium'!H18*0.5), "No data")</f>
        <v>4.7999999999999996E-3</v>
      </c>
    </row>
    <row r="41" spans="2:3">
      <c r="B41" s="32" t="s">
        <v>844</v>
      </c>
      <c r="C41" s="55">
        <f>IFERROR(_xlfn.XLOOKUP(C45,'Region and Tech Premium'!B19:B25,'Region and Tech Premium'!D19:D25,0,0,1), "No data")</f>
        <v>2.5999999999999999E-2</v>
      </c>
    </row>
    <row r="42" spans="2:3">
      <c r="B42" s="32" t="s">
        <v>846</v>
      </c>
      <c r="C42" s="55">
        <f>IFERROR(SUM(_xlfn.XLOOKUP(C45,'Region and Tech Premium'!F19:F25,'Region and Tech Premium'!H19:H25,0,0,1),'Region and Tech Premium'!H18*0.5), "No data")</f>
        <v>1.5300000000000001E-2</v>
      </c>
    </row>
    <row r="43" spans="2:3">
      <c r="B43" s="32" t="s">
        <v>838</v>
      </c>
      <c r="C43" s="55">
        <f>'Debt Share'!C5</f>
        <v>0.7</v>
      </c>
    </row>
    <row r="45" spans="2:3">
      <c r="B45" s="36" t="s">
        <v>749</v>
      </c>
      <c r="C45" s="56" t="str">
        <f>IFERROR(_xlfn.XLOOKUP(C18,'World Regions'!B6:B226,'World Regions'!D6:D226,0,0,1), "No data")</f>
        <v>East Asia &amp; Pacific</v>
      </c>
    </row>
  </sheetData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910DEF-E466-D546-8AF5-970D8EF5DE19}">
          <x14:formula1>
            <xm:f>'Drop Down Lists'!$F$6:$F$21</xm:f>
          </x14:formula1>
          <xm:sqref>C19</xm:sqref>
        </x14:dataValidation>
        <x14:dataValidation type="list" allowBlank="1" showInputMessage="1" showErrorMessage="1" xr:uid="{95FA8ED8-EE38-EA4D-8A8D-8BC26F4FCD95}">
          <x14:formula1>
            <xm:f>'Drop Down Lists'!$D$6:$D$8</xm:f>
          </x14:formula1>
          <xm:sqref>C20</xm:sqref>
        </x14:dataValidation>
        <x14:dataValidation type="list" allowBlank="1" showInputMessage="1" showErrorMessage="1" xr:uid="{D84DE723-CDE4-5B41-9D95-629C81280E99}">
          <x14:formula1>
            <xm:f>'Drop Down Lists'!$B$6:$B$159</xm:f>
          </x14:formula1>
          <xm:sqref>C18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24481-0F85-364A-A7BC-DC28EE4C6AD9}">
  <sheetPr>
    <tabColor theme="2" tint="-9.9978637043366805E-2"/>
  </sheetPr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6169B-B77C-2449-9CD4-527A100A50BE}">
  <sheetPr>
    <tabColor theme="9" tint="0.79998168889431442"/>
  </sheetPr>
  <dimension ref="A2:S77"/>
  <sheetViews>
    <sheetView workbookViewId="0">
      <selection activeCell="E10" sqref="E10"/>
    </sheetView>
  </sheetViews>
  <sheetFormatPr baseColWidth="10" defaultRowHeight="16"/>
  <cols>
    <col min="1" max="1" width="2.83203125" style="41" customWidth="1"/>
    <col min="2" max="2" width="11" style="42" customWidth="1"/>
    <col min="3" max="16384" width="10.83203125" style="41"/>
  </cols>
  <sheetData>
    <row r="2" spans="1:19" s="32" customFormat="1">
      <c r="A2" s="30"/>
      <c r="B2" s="31" t="str" cm="1">
        <f t="array" aca="1" ref="B2" ca="1">MID(CELL("filename", A1), FIND("]", CELL("filename", A1)) + 1, 255)</f>
        <v>Equity Risk Premium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</row>
    <row r="5" spans="1:19" s="49" customFormat="1">
      <c r="B5" s="50" t="s">
        <v>746</v>
      </c>
      <c r="C5" s="51" t="s">
        <v>745</v>
      </c>
    </row>
    <row r="6" spans="1:19">
      <c r="B6" s="43">
        <v>1961</v>
      </c>
      <c r="C6" s="44">
        <v>2.92E-2</v>
      </c>
    </row>
    <row r="7" spans="1:19">
      <c r="B7" s="43">
        <v>1962</v>
      </c>
      <c r="C7" s="44">
        <v>3.56E-2</v>
      </c>
    </row>
    <row r="8" spans="1:19">
      <c r="B8" s="43">
        <v>1963</v>
      </c>
      <c r="C8" s="44">
        <v>3.3799999999999997E-2</v>
      </c>
    </row>
    <row r="9" spans="1:19">
      <c r="B9" s="43">
        <v>1964</v>
      </c>
      <c r="C9" s="44">
        <v>3.3099999999999997E-2</v>
      </c>
    </row>
    <row r="10" spans="1:19">
      <c r="B10" s="43">
        <v>1965</v>
      </c>
      <c r="C10" s="44">
        <v>3.32E-2</v>
      </c>
    </row>
    <row r="11" spans="1:19">
      <c r="B11" s="43">
        <v>1966</v>
      </c>
      <c r="C11" s="44">
        <v>3.6799999999999999E-2</v>
      </c>
    </row>
    <row r="12" spans="1:19">
      <c r="B12" s="43">
        <v>1967</v>
      </c>
      <c r="C12" s="44">
        <v>3.2000000000000001E-2</v>
      </c>
    </row>
    <row r="13" spans="1:19">
      <c r="B13" s="43">
        <v>1968</v>
      </c>
      <c r="C13" s="44">
        <v>0.03</v>
      </c>
    </row>
    <row r="14" spans="1:19">
      <c r="B14" s="43">
        <v>1969</v>
      </c>
      <c r="C14" s="44">
        <v>3.7400000000000003E-2</v>
      </c>
    </row>
    <row r="15" spans="1:19">
      <c r="B15" s="43">
        <v>1970</v>
      </c>
      <c r="C15" s="44">
        <v>3.4099999999999998E-2</v>
      </c>
    </row>
    <row r="16" spans="1:19">
      <c r="B16" s="43">
        <v>1971</v>
      </c>
      <c r="C16" s="44">
        <v>3.09E-2</v>
      </c>
    </row>
    <row r="17" spans="2:3">
      <c r="B17" s="43">
        <v>1972</v>
      </c>
      <c r="C17" s="44">
        <v>2.7199999999999998E-2</v>
      </c>
    </row>
    <row r="18" spans="2:3">
      <c r="B18" s="43">
        <v>1973</v>
      </c>
      <c r="C18" s="44">
        <v>4.2999999999999997E-2</v>
      </c>
    </row>
    <row r="19" spans="2:3">
      <c r="B19" s="43">
        <v>1974</v>
      </c>
      <c r="C19" s="44">
        <v>5.5899999999999998E-2</v>
      </c>
    </row>
    <row r="20" spans="2:3">
      <c r="B20" s="43">
        <v>1975</v>
      </c>
      <c r="C20" s="44">
        <v>4.1300000000000003E-2</v>
      </c>
    </row>
    <row r="21" spans="2:3">
      <c r="B21" s="43">
        <v>1976</v>
      </c>
      <c r="C21" s="44">
        <v>4.5499999999999999E-2</v>
      </c>
    </row>
    <row r="22" spans="2:3">
      <c r="B22" s="43">
        <v>1977</v>
      </c>
      <c r="C22" s="44">
        <v>5.9200000000000003E-2</v>
      </c>
    </row>
    <row r="23" spans="2:3">
      <c r="B23" s="43">
        <v>1978</v>
      </c>
      <c r="C23" s="44">
        <v>5.7200000000000001E-2</v>
      </c>
    </row>
    <row r="24" spans="2:3">
      <c r="B24" s="43">
        <v>1979</v>
      </c>
      <c r="C24" s="44">
        <v>6.4500000000000002E-2</v>
      </c>
    </row>
    <row r="25" spans="2:3">
      <c r="B25" s="43">
        <v>1980</v>
      </c>
      <c r="C25" s="44">
        <v>5.0299999999999997E-2</v>
      </c>
    </row>
    <row r="26" spans="2:3">
      <c r="B26" s="43">
        <v>1981</v>
      </c>
      <c r="C26" s="44">
        <v>5.7299999999999997E-2</v>
      </c>
    </row>
    <row r="27" spans="2:3">
      <c r="B27" s="43">
        <v>1982</v>
      </c>
      <c r="C27" s="44">
        <v>4.9000000000000002E-2</v>
      </c>
    </row>
    <row r="28" spans="2:3">
      <c r="B28" s="43">
        <v>1983</v>
      </c>
      <c r="C28" s="44">
        <v>4.3099999999999999E-2</v>
      </c>
    </row>
    <row r="29" spans="2:3">
      <c r="B29" s="43">
        <v>1984</v>
      </c>
      <c r="C29" s="44">
        <v>5.11E-2</v>
      </c>
    </row>
    <row r="30" spans="2:3">
      <c r="B30" s="43">
        <v>1985</v>
      </c>
      <c r="C30" s="44">
        <v>3.8399999999999997E-2</v>
      </c>
    </row>
    <row r="31" spans="2:3">
      <c r="B31" s="43">
        <v>1986</v>
      </c>
      <c r="C31" s="44">
        <v>3.5799999999999998E-2</v>
      </c>
    </row>
    <row r="32" spans="2:3">
      <c r="B32" s="43">
        <v>1987</v>
      </c>
      <c r="C32" s="44">
        <v>3.9899999999999998E-2</v>
      </c>
    </row>
    <row r="33" spans="2:3">
      <c r="B33" s="43">
        <v>1988</v>
      </c>
      <c r="C33" s="44">
        <v>3.7699999999999997E-2</v>
      </c>
    </row>
    <row r="34" spans="2:3">
      <c r="B34" s="43">
        <v>1989</v>
      </c>
      <c r="C34" s="44">
        <v>3.5099999999999999E-2</v>
      </c>
    </row>
    <row r="35" spans="2:3">
      <c r="B35" s="43">
        <v>1990</v>
      </c>
      <c r="C35" s="44">
        <v>3.8899999999999997E-2</v>
      </c>
    </row>
    <row r="36" spans="2:3">
      <c r="B36" s="43">
        <v>1991</v>
      </c>
      <c r="C36" s="44">
        <v>3.4799999999999998E-2</v>
      </c>
    </row>
    <row r="37" spans="2:3">
      <c r="B37" s="43">
        <v>1992</v>
      </c>
      <c r="C37" s="44">
        <v>3.5499999999999997E-2</v>
      </c>
    </row>
    <row r="38" spans="2:3">
      <c r="B38" s="43">
        <v>1993</v>
      </c>
      <c r="C38" s="44">
        <v>3.1699999999999999E-2</v>
      </c>
    </row>
    <row r="39" spans="2:3">
      <c r="B39" s="43">
        <v>1994</v>
      </c>
      <c r="C39" s="44">
        <v>3.5499999999999997E-2</v>
      </c>
    </row>
    <row r="40" spans="2:3">
      <c r="B40" s="43">
        <v>1995</v>
      </c>
      <c r="C40" s="44">
        <v>3.2899999999999999E-2</v>
      </c>
    </row>
    <row r="41" spans="2:3">
      <c r="B41" s="43">
        <v>1996</v>
      </c>
      <c r="C41" s="44">
        <v>3.2000000000000001E-2</v>
      </c>
    </row>
    <row r="42" spans="2:3">
      <c r="B42" s="43">
        <v>1997</v>
      </c>
      <c r="C42" s="44">
        <v>2.7300000000000001E-2</v>
      </c>
    </row>
    <row r="43" spans="2:3">
      <c r="B43" s="43">
        <v>1998</v>
      </c>
      <c r="C43" s="44">
        <v>2.2599999999999999E-2</v>
      </c>
    </row>
    <row r="44" spans="2:3">
      <c r="B44" s="43">
        <v>1999</v>
      </c>
      <c r="C44" s="44">
        <v>2.0500000000000001E-2</v>
      </c>
    </row>
    <row r="45" spans="2:3">
      <c r="B45" s="43">
        <v>2000</v>
      </c>
      <c r="C45" s="44">
        <v>2.87E-2</v>
      </c>
    </row>
    <row r="46" spans="2:3">
      <c r="B46" s="43">
        <v>2001</v>
      </c>
      <c r="C46" s="44">
        <v>3.6200000000000003E-2</v>
      </c>
    </row>
    <row r="47" spans="2:3">
      <c r="B47" s="43">
        <v>2002</v>
      </c>
      <c r="C47" s="44">
        <v>4.1000000000000002E-2</v>
      </c>
    </row>
    <row r="48" spans="2:3">
      <c r="B48" s="43">
        <v>2003</v>
      </c>
      <c r="C48" s="44">
        <v>3.6900000000000002E-2</v>
      </c>
    </row>
    <row r="49" spans="2:3">
      <c r="B49" s="43">
        <v>2004</v>
      </c>
      <c r="C49" s="44">
        <v>3.6499999999999998E-2</v>
      </c>
    </row>
    <row r="50" spans="2:3">
      <c r="B50" s="43">
        <v>2005</v>
      </c>
      <c r="C50" s="44">
        <v>4.0800000000000003E-2</v>
      </c>
    </row>
    <row r="51" spans="2:3">
      <c r="B51" s="43">
        <v>2006</v>
      </c>
      <c r="C51" s="44">
        <v>4.1599999999999998E-2</v>
      </c>
    </row>
    <row r="52" spans="2:3">
      <c r="B52" s="43">
        <v>2007</v>
      </c>
      <c r="C52" s="44">
        <v>4.3700000000000003E-2</v>
      </c>
    </row>
    <row r="53" spans="2:3">
      <c r="B53" s="43">
        <v>2008</v>
      </c>
      <c r="C53" s="44">
        <v>6.4299999999999996E-2</v>
      </c>
    </row>
    <row r="54" spans="2:3">
      <c r="B54" s="45">
        <v>2009</v>
      </c>
      <c r="C54" s="44">
        <v>4.36E-2</v>
      </c>
    </row>
    <row r="55" spans="2:3">
      <c r="B55" s="45">
        <v>2010</v>
      </c>
      <c r="C55" s="44">
        <v>5.1999999999999998E-2</v>
      </c>
    </row>
    <row r="56" spans="2:3">
      <c r="B56" s="46">
        <v>2011</v>
      </c>
      <c r="C56" s="47">
        <v>6.0100000000000001E-2</v>
      </c>
    </row>
    <row r="57" spans="2:3">
      <c r="B57" s="46">
        <v>2012</v>
      </c>
      <c r="C57" s="47">
        <v>5.7799999999999997E-2</v>
      </c>
    </row>
    <row r="58" spans="2:3">
      <c r="B58" s="46">
        <v>2013</v>
      </c>
      <c r="C58" s="47">
        <v>4.9599999999999998E-2</v>
      </c>
    </row>
    <row r="59" spans="2:3">
      <c r="B59" s="46">
        <v>2014</v>
      </c>
      <c r="C59" s="47">
        <v>5.7799999999999997E-2</v>
      </c>
    </row>
    <row r="60" spans="2:3">
      <c r="B60" s="46">
        <v>2015</v>
      </c>
      <c r="C60" s="47">
        <v>6.1199999999999997E-2</v>
      </c>
    </row>
    <row r="61" spans="2:3">
      <c r="B61" s="46">
        <v>2016</v>
      </c>
      <c r="C61" s="47">
        <v>5.6899999999999999E-2</v>
      </c>
    </row>
    <row r="62" spans="2:3">
      <c r="B62" s="46">
        <v>2017</v>
      </c>
      <c r="C62" s="47">
        <v>5.0799999999999998E-2</v>
      </c>
    </row>
    <row r="63" spans="2:3">
      <c r="B63" s="46">
        <v>2018</v>
      </c>
      <c r="C63" s="47">
        <v>5.96E-2</v>
      </c>
    </row>
    <row r="64" spans="2:3">
      <c r="B64" s="46">
        <v>2019</v>
      </c>
      <c r="C64" s="47">
        <v>5.1999999999999998E-2</v>
      </c>
    </row>
    <row r="65" spans="2:3">
      <c r="B65" s="46">
        <v>2020</v>
      </c>
      <c r="C65" s="47">
        <v>4.7199999999999999E-2</v>
      </c>
    </row>
    <row r="66" spans="2:3">
      <c r="B66" s="46">
        <v>2021</v>
      </c>
      <c r="C66" s="47">
        <v>4.24E-2</v>
      </c>
    </row>
    <row r="67" spans="2:3">
      <c r="B67" s="46">
        <v>2022</v>
      </c>
      <c r="C67" s="47">
        <v>5.9400000000000001E-2</v>
      </c>
    </row>
    <row r="68" spans="2:3">
      <c r="B68" s="46">
        <v>2023</v>
      </c>
      <c r="C68" s="47">
        <v>4.5999999999999999E-2</v>
      </c>
    </row>
    <row r="69" spans="2:3">
      <c r="B69" s="46">
        <v>2024</v>
      </c>
      <c r="C69" s="47">
        <v>4.3299999999999998E-2</v>
      </c>
    </row>
    <row r="70" spans="2:3">
      <c r="B70" s="37"/>
      <c r="C70" s="37"/>
    </row>
    <row r="71" spans="2:3">
      <c r="B71" s="37"/>
      <c r="C71" s="37"/>
    </row>
    <row r="72" spans="2:3">
      <c r="B72" s="41"/>
      <c r="C72" s="48"/>
    </row>
    <row r="73" spans="2:3">
      <c r="B73" s="41"/>
      <c r="C73" s="48"/>
    </row>
    <row r="74" spans="2:3">
      <c r="B74" s="41"/>
      <c r="C74" s="48"/>
    </row>
    <row r="75" spans="2:3">
      <c r="B75" s="41"/>
      <c r="C75" s="48"/>
    </row>
    <row r="76" spans="2:3">
      <c r="B76" s="41"/>
      <c r="C76" s="48"/>
    </row>
    <row r="77" spans="2:3">
      <c r="B77" s="41"/>
      <c r="C77" s="48"/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ECCFF-6138-6F45-B976-53186FF29D3E}">
  <sheetPr>
    <tabColor theme="9" tint="0.79998168889431442"/>
  </sheetPr>
  <dimension ref="A2:S21"/>
  <sheetViews>
    <sheetView workbookViewId="0">
      <selection activeCell="O12" sqref="O12"/>
    </sheetView>
  </sheetViews>
  <sheetFormatPr baseColWidth="10" defaultColWidth="8.83203125" defaultRowHeight="16"/>
  <cols>
    <col min="1" max="1" width="2.83203125" style="38" customWidth="1"/>
    <col min="2" max="3" width="8.83203125" style="39"/>
    <col min="4" max="16384" width="8.83203125" style="38"/>
  </cols>
  <sheetData>
    <row r="2" spans="1:19" s="32" customFormat="1">
      <c r="A2" s="30"/>
      <c r="B2" s="31" t="str" cm="1">
        <f t="array" aca="1" ref="B2" ca="1">MID(CELL("filename", A1), FIND("]", CELL("filename", A1)) + 1, 255)</f>
        <v>Global Risk Free Rate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</row>
    <row r="5" spans="1:19">
      <c r="B5" s="40" t="s">
        <v>746</v>
      </c>
      <c r="C5" s="40" t="s">
        <v>744</v>
      </c>
    </row>
    <row r="6" spans="1:19">
      <c r="B6" s="39">
        <v>2023</v>
      </c>
      <c r="C6" s="53">
        <v>3.73E-2</v>
      </c>
    </row>
    <row r="7" spans="1:19">
      <c r="B7" s="39">
        <v>2020</v>
      </c>
      <c r="C7" s="53">
        <v>8.8920318700000008E-3</v>
      </c>
    </row>
    <row r="8" spans="1:19">
      <c r="B8" s="39">
        <v>2015</v>
      </c>
      <c r="C8" s="53">
        <v>2.1382868530000002E-2</v>
      </c>
    </row>
    <row r="9" spans="1:19">
      <c r="B9" s="39">
        <v>2018</v>
      </c>
      <c r="C9" s="53">
        <v>2.909364683E-2</v>
      </c>
    </row>
    <row r="10" spans="1:19">
      <c r="B10" s="39">
        <v>2016</v>
      </c>
      <c r="C10" s="53">
        <v>1.840287451E-2</v>
      </c>
    </row>
    <row r="11" spans="1:19">
      <c r="B11" s="39">
        <v>2013</v>
      </c>
      <c r="C11" s="53">
        <v>2.3501600000000001E-2</v>
      </c>
    </row>
    <row r="12" spans="1:19">
      <c r="B12" s="39">
        <v>2014</v>
      </c>
      <c r="C12" s="53">
        <v>2.5395600000000001E-2</v>
      </c>
    </row>
    <row r="13" spans="1:19">
      <c r="B13" s="39">
        <v>2019</v>
      </c>
      <c r="C13" s="53">
        <v>2.1413999999999999E-2</v>
      </c>
    </row>
    <row r="14" spans="1:19">
      <c r="B14" s="39">
        <v>2012</v>
      </c>
      <c r="C14" s="53">
        <v>1.8034399999999999E-2</v>
      </c>
    </row>
    <row r="15" spans="1:19">
      <c r="B15" s="39">
        <v>2021</v>
      </c>
      <c r="C15" s="53">
        <v>1.4468525899999999E-2</v>
      </c>
    </row>
    <row r="16" spans="1:19">
      <c r="B16" s="39">
        <v>2022</v>
      </c>
      <c r="C16" s="53">
        <v>2.9505622490000001E-2</v>
      </c>
    </row>
    <row r="17" spans="2:3">
      <c r="B17" s="39">
        <v>2017</v>
      </c>
      <c r="C17" s="53">
        <v>2.326625769E-2</v>
      </c>
    </row>
    <row r="18" spans="2:3">
      <c r="B18" s="39">
        <v>2008</v>
      </c>
      <c r="C18" s="53">
        <v>3.6642629480000001E-2</v>
      </c>
    </row>
    <row r="19" spans="2:3">
      <c r="B19" s="39">
        <v>2010</v>
      </c>
      <c r="C19" s="53">
        <v>3.2150597609999998E-2</v>
      </c>
    </row>
    <row r="20" spans="2:3">
      <c r="B20" s="39">
        <v>2009</v>
      </c>
      <c r="C20" s="53">
        <v>3.2641200000000002E-2</v>
      </c>
    </row>
    <row r="21" spans="2:3">
      <c r="B21" s="39">
        <v>2011</v>
      </c>
      <c r="C21" s="53">
        <v>2.7816400000000002E-2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CE180-A9AF-DC42-8838-7330D8C6EA0E}">
  <sheetPr>
    <tabColor theme="9" tint="0.79998168889431442"/>
  </sheetPr>
  <dimension ref="A2:AW256"/>
  <sheetViews>
    <sheetView topLeftCell="W1" workbookViewId="0">
      <selection activeCell="S2" sqref="S2:AW2"/>
    </sheetView>
  </sheetViews>
  <sheetFormatPr baseColWidth="10" defaultColWidth="8.83203125" defaultRowHeight="15"/>
  <cols>
    <col min="1" max="1" width="2.83203125" style="1" customWidth="1"/>
    <col min="2" max="4" width="8.83203125" style="1"/>
    <col min="5" max="5" width="42.5" style="1" bestFit="1" customWidth="1"/>
    <col min="6" max="16384" width="8.83203125" style="1"/>
  </cols>
  <sheetData>
    <row r="2" spans="1:49" s="32" customFormat="1" ht="16">
      <c r="A2" s="30"/>
      <c r="B2" s="31" t="str" cm="1">
        <f t="array" aca="1" ref="B2" ca="1">MID(CELL("filename", A1), FIND("]", CELL("filename", A1)) + 1, 255)</f>
        <v>Tax Rate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</row>
    <row r="5" spans="1:49" s="52" customFormat="1">
      <c r="B5" s="52" t="s">
        <v>0</v>
      </c>
      <c r="C5" s="52" t="s">
        <v>1</v>
      </c>
      <c r="D5" s="52" t="s">
        <v>2</v>
      </c>
      <c r="E5" s="52" t="s">
        <v>3</v>
      </c>
      <c r="F5" s="52">
        <v>1980</v>
      </c>
      <c r="G5" s="52">
        <v>1981</v>
      </c>
      <c r="H5" s="52">
        <v>1982</v>
      </c>
      <c r="I5" s="52">
        <v>1983</v>
      </c>
      <c r="J5" s="52">
        <v>1984</v>
      </c>
      <c r="K5" s="52">
        <v>1985</v>
      </c>
      <c r="L5" s="52">
        <v>1986</v>
      </c>
      <c r="M5" s="52">
        <v>1987</v>
      </c>
      <c r="N5" s="52">
        <v>1988</v>
      </c>
      <c r="O5" s="52">
        <v>1989</v>
      </c>
      <c r="P5" s="52">
        <v>1990</v>
      </c>
      <c r="Q5" s="52">
        <v>1991</v>
      </c>
      <c r="R5" s="52">
        <v>1992</v>
      </c>
      <c r="S5" s="52">
        <v>1993</v>
      </c>
      <c r="T5" s="52">
        <v>1994</v>
      </c>
      <c r="U5" s="52">
        <v>1995</v>
      </c>
      <c r="V5" s="52">
        <v>1996</v>
      </c>
      <c r="W5" s="52">
        <v>1997</v>
      </c>
      <c r="X5" s="52">
        <v>1998</v>
      </c>
      <c r="Y5" s="52">
        <v>1999</v>
      </c>
      <c r="Z5" s="52">
        <v>2000</v>
      </c>
      <c r="AA5" s="52">
        <v>2001</v>
      </c>
      <c r="AB5" s="52">
        <v>2002</v>
      </c>
      <c r="AC5" s="52">
        <v>2003</v>
      </c>
      <c r="AD5" s="52">
        <v>2004</v>
      </c>
      <c r="AE5" s="52">
        <v>2005</v>
      </c>
      <c r="AF5" s="52">
        <v>2006</v>
      </c>
      <c r="AG5" s="52">
        <v>2007</v>
      </c>
      <c r="AH5" s="52">
        <v>2008</v>
      </c>
      <c r="AI5" s="52">
        <v>2009</v>
      </c>
      <c r="AJ5" s="52">
        <v>2010</v>
      </c>
      <c r="AK5" s="52">
        <v>2011</v>
      </c>
      <c r="AL5" s="52">
        <v>2012</v>
      </c>
      <c r="AM5" s="52">
        <v>2013</v>
      </c>
      <c r="AN5" s="52">
        <v>2014</v>
      </c>
      <c r="AO5" s="52">
        <v>2015</v>
      </c>
      <c r="AP5" s="52">
        <v>2016</v>
      </c>
      <c r="AQ5" s="52">
        <v>2017</v>
      </c>
      <c r="AR5" s="52">
        <v>2018</v>
      </c>
      <c r="AS5" s="52">
        <v>2019</v>
      </c>
      <c r="AT5" s="52">
        <v>2020</v>
      </c>
      <c r="AU5" s="52">
        <v>2021</v>
      </c>
      <c r="AV5" s="52">
        <v>2022</v>
      </c>
      <c r="AW5" s="52">
        <v>2023</v>
      </c>
    </row>
    <row r="6" spans="1:49">
      <c r="B6" s="1" t="s">
        <v>4</v>
      </c>
      <c r="C6" s="1" t="s">
        <v>5</v>
      </c>
      <c r="D6" s="1" t="s">
        <v>6</v>
      </c>
      <c r="E6" s="1" t="s">
        <v>7</v>
      </c>
      <c r="F6" s="28" t="s">
        <v>8</v>
      </c>
      <c r="G6" s="28" t="s">
        <v>8</v>
      </c>
      <c r="H6" s="28" t="s">
        <v>8</v>
      </c>
      <c r="I6" s="28" t="s">
        <v>8</v>
      </c>
      <c r="J6" s="28" t="s">
        <v>8</v>
      </c>
      <c r="K6" s="28" t="s">
        <v>8</v>
      </c>
      <c r="L6" s="28" t="s">
        <v>8</v>
      </c>
      <c r="M6" s="28" t="s">
        <v>8</v>
      </c>
      <c r="N6" s="28" t="s">
        <v>8</v>
      </c>
      <c r="O6" s="28" t="s">
        <v>8</v>
      </c>
      <c r="P6" s="28" t="s">
        <v>8</v>
      </c>
      <c r="Q6" s="28" t="s">
        <v>8</v>
      </c>
      <c r="R6" s="28" t="s">
        <v>8</v>
      </c>
      <c r="S6" s="28" t="s">
        <v>8</v>
      </c>
      <c r="T6" s="28" t="s">
        <v>8</v>
      </c>
      <c r="U6" s="28" t="s">
        <v>8</v>
      </c>
      <c r="V6" s="28" t="s">
        <v>8</v>
      </c>
      <c r="W6" s="28" t="s">
        <v>8</v>
      </c>
      <c r="X6" s="28" t="s">
        <v>8</v>
      </c>
      <c r="Y6" s="28" t="s">
        <v>8</v>
      </c>
      <c r="Z6" s="28">
        <v>49.451000000000001</v>
      </c>
      <c r="AA6" s="28">
        <v>49.45</v>
      </c>
      <c r="AB6" s="28">
        <v>49.45</v>
      </c>
      <c r="AC6" s="28">
        <v>35</v>
      </c>
      <c r="AD6" s="28">
        <v>35</v>
      </c>
      <c r="AE6" s="28">
        <v>35</v>
      </c>
      <c r="AF6" s="28">
        <v>35</v>
      </c>
      <c r="AG6" s="28">
        <v>28</v>
      </c>
      <c r="AH6" s="28">
        <v>28</v>
      </c>
      <c r="AI6" s="28">
        <v>28</v>
      </c>
      <c r="AJ6" s="28">
        <v>28</v>
      </c>
      <c r="AK6" s="28">
        <v>28</v>
      </c>
      <c r="AL6" s="28">
        <v>28</v>
      </c>
      <c r="AM6" s="28">
        <v>28</v>
      </c>
      <c r="AN6" s="28">
        <v>28</v>
      </c>
      <c r="AO6" s="28">
        <v>28</v>
      </c>
      <c r="AP6" s="28">
        <v>25</v>
      </c>
      <c r="AQ6" s="28">
        <v>25</v>
      </c>
      <c r="AR6" s="28">
        <v>25</v>
      </c>
      <c r="AS6" s="28">
        <v>25</v>
      </c>
      <c r="AT6" s="28">
        <v>25</v>
      </c>
      <c r="AU6" s="28">
        <v>25</v>
      </c>
      <c r="AV6" s="28">
        <v>25</v>
      </c>
      <c r="AW6" s="28">
        <v>22</v>
      </c>
    </row>
    <row r="7" spans="1:49">
      <c r="B7" s="1" t="s">
        <v>9</v>
      </c>
      <c r="C7" s="1" t="s">
        <v>10</v>
      </c>
      <c r="D7" s="1" t="s">
        <v>11</v>
      </c>
      <c r="E7" s="1" t="s">
        <v>12</v>
      </c>
      <c r="F7" s="28" t="s">
        <v>8</v>
      </c>
      <c r="G7" s="28" t="s">
        <v>8</v>
      </c>
      <c r="H7" s="28" t="s">
        <v>8</v>
      </c>
      <c r="I7" s="28" t="s">
        <v>8</v>
      </c>
      <c r="J7" s="28" t="s">
        <v>8</v>
      </c>
      <c r="K7" s="28" t="s">
        <v>8</v>
      </c>
      <c r="L7" s="28" t="s">
        <v>8</v>
      </c>
      <c r="M7" s="28" t="s">
        <v>8</v>
      </c>
      <c r="N7" s="28" t="s">
        <v>8</v>
      </c>
      <c r="O7" s="28" t="s">
        <v>8</v>
      </c>
      <c r="P7" s="28" t="s">
        <v>8</v>
      </c>
      <c r="Q7" s="28" t="s">
        <v>8</v>
      </c>
      <c r="R7" s="28" t="s">
        <v>8</v>
      </c>
      <c r="S7" s="28" t="s">
        <v>8</v>
      </c>
      <c r="T7" s="28" t="s">
        <v>8</v>
      </c>
      <c r="U7" s="28" t="s">
        <v>8</v>
      </c>
      <c r="V7" s="28" t="s">
        <v>8</v>
      </c>
      <c r="W7" s="28" t="s">
        <v>8</v>
      </c>
      <c r="X7" s="28" t="s">
        <v>8</v>
      </c>
      <c r="Y7" s="28" t="s">
        <v>8</v>
      </c>
      <c r="Z7" s="28" t="s">
        <v>8</v>
      </c>
      <c r="AA7" s="28" t="s">
        <v>8</v>
      </c>
      <c r="AB7" s="28" t="s">
        <v>8</v>
      </c>
      <c r="AC7" s="28">
        <v>0</v>
      </c>
      <c r="AD7" s="28">
        <v>0</v>
      </c>
      <c r="AE7" s="28">
        <v>20</v>
      </c>
      <c r="AF7" s="28">
        <v>20</v>
      </c>
      <c r="AG7" s="28">
        <v>20</v>
      </c>
      <c r="AH7" s="28">
        <v>20</v>
      </c>
      <c r="AI7" s="28">
        <v>20</v>
      </c>
      <c r="AJ7" s="28">
        <v>20</v>
      </c>
      <c r="AK7" s="28">
        <v>20</v>
      </c>
      <c r="AL7" s="28">
        <v>20</v>
      </c>
      <c r="AM7" s="28">
        <v>20</v>
      </c>
      <c r="AN7" s="28">
        <v>20</v>
      </c>
      <c r="AO7" s="28">
        <v>20</v>
      </c>
      <c r="AP7" s="28">
        <v>20</v>
      </c>
      <c r="AQ7" s="28">
        <v>20</v>
      </c>
      <c r="AR7" s="28">
        <v>20</v>
      </c>
      <c r="AS7" s="28">
        <v>20</v>
      </c>
      <c r="AT7" s="28">
        <v>20</v>
      </c>
      <c r="AU7" s="28">
        <v>20</v>
      </c>
      <c r="AV7" s="28">
        <v>20</v>
      </c>
      <c r="AW7" s="28">
        <v>20</v>
      </c>
    </row>
    <row r="8" spans="1:49">
      <c r="B8" s="1" t="s">
        <v>13</v>
      </c>
      <c r="C8" s="1" t="s">
        <v>14</v>
      </c>
      <c r="D8" s="1" t="s">
        <v>9</v>
      </c>
      <c r="E8" s="1" t="s">
        <v>15</v>
      </c>
      <c r="F8" s="28" t="s">
        <v>8</v>
      </c>
      <c r="G8" s="28" t="s">
        <v>8</v>
      </c>
      <c r="H8" s="28" t="s">
        <v>8</v>
      </c>
      <c r="I8" s="28" t="s">
        <v>8</v>
      </c>
      <c r="J8" s="28" t="s">
        <v>8</v>
      </c>
      <c r="K8" s="28" t="s">
        <v>8</v>
      </c>
      <c r="L8" s="28" t="s">
        <v>8</v>
      </c>
      <c r="M8" s="28" t="s">
        <v>8</v>
      </c>
      <c r="N8" s="28" t="s">
        <v>8</v>
      </c>
      <c r="O8" s="28" t="s">
        <v>8</v>
      </c>
      <c r="P8" s="28" t="s">
        <v>8</v>
      </c>
      <c r="Q8" s="28" t="s">
        <v>8</v>
      </c>
      <c r="R8" s="28" t="s">
        <v>8</v>
      </c>
      <c r="S8" s="28" t="s">
        <v>8</v>
      </c>
      <c r="T8" s="28" t="s">
        <v>8</v>
      </c>
      <c r="U8" s="28">
        <v>40</v>
      </c>
      <c r="V8" s="28">
        <v>40</v>
      </c>
      <c r="W8" s="28">
        <v>40</v>
      </c>
      <c r="X8" s="28">
        <v>40</v>
      </c>
      <c r="Y8" s="28">
        <v>40</v>
      </c>
      <c r="Z8" s="28">
        <v>40</v>
      </c>
      <c r="AA8" s="28">
        <v>35</v>
      </c>
      <c r="AB8" s="28">
        <v>35</v>
      </c>
      <c r="AC8" s="28">
        <v>35</v>
      </c>
      <c r="AD8" s="28">
        <v>35</v>
      </c>
      <c r="AE8" s="28">
        <v>35</v>
      </c>
      <c r="AF8" s="28">
        <v>35</v>
      </c>
      <c r="AG8" s="28">
        <v>35</v>
      </c>
      <c r="AH8" s="28">
        <v>35</v>
      </c>
      <c r="AI8" s="28">
        <v>35</v>
      </c>
      <c r="AJ8" s="28">
        <v>35</v>
      </c>
      <c r="AK8" s="28">
        <v>35</v>
      </c>
      <c r="AL8" s="28">
        <v>35</v>
      </c>
      <c r="AM8" s="28">
        <v>35</v>
      </c>
      <c r="AN8" s="28">
        <v>35</v>
      </c>
      <c r="AO8" s="28">
        <v>30</v>
      </c>
      <c r="AP8" s="28">
        <v>30</v>
      </c>
      <c r="AQ8" s="28">
        <v>30</v>
      </c>
      <c r="AR8" s="28">
        <v>30</v>
      </c>
      <c r="AS8" s="28">
        <v>30</v>
      </c>
      <c r="AT8" s="28">
        <v>30</v>
      </c>
      <c r="AU8" s="28">
        <v>25</v>
      </c>
      <c r="AV8" s="28">
        <v>25</v>
      </c>
      <c r="AW8" s="28">
        <v>25</v>
      </c>
    </row>
    <row r="9" spans="1:49">
      <c r="B9" s="1" t="s">
        <v>16</v>
      </c>
      <c r="C9" s="1" t="s">
        <v>17</v>
      </c>
      <c r="D9" s="1" t="s">
        <v>6</v>
      </c>
      <c r="E9" s="1" t="s">
        <v>18</v>
      </c>
      <c r="F9" s="28" t="s">
        <v>8</v>
      </c>
      <c r="G9" s="28" t="s">
        <v>8</v>
      </c>
      <c r="H9" s="28" t="s">
        <v>8</v>
      </c>
      <c r="I9" s="28" t="s">
        <v>8</v>
      </c>
      <c r="J9" s="28" t="s">
        <v>8</v>
      </c>
      <c r="K9" s="28" t="s">
        <v>8</v>
      </c>
      <c r="L9" s="28" t="s">
        <v>8</v>
      </c>
      <c r="M9" s="28" t="s">
        <v>8</v>
      </c>
      <c r="N9" s="28" t="s">
        <v>8</v>
      </c>
      <c r="O9" s="28" t="s">
        <v>8</v>
      </c>
      <c r="P9" s="28" t="s">
        <v>8</v>
      </c>
      <c r="Q9" s="28" t="s">
        <v>8</v>
      </c>
      <c r="R9" s="28" t="s">
        <v>8</v>
      </c>
      <c r="S9" s="28" t="s">
        <v>8</v>
      </c>
      <c r="T9" s="28" t="s">
        <v>8</v>
      </c>
      <c r="U9" s="28" t="s">
        <v>8</v>
      </c>
      <c r="V9" s="28" t="s">
        <v>8</v>
      </c>
      <c r="W9" s="28" t="s">
        <v>8</v>
      </c>
      <c r="X9" s="28" t="s">
        <v>8</v>
      </c>
      <c r="Y9" s="28" t="s">
        <v>8</v>
      </c>
      <c r="Z9" s="28">
        <v>0</v>
      </c>
      <c r="AA9" s="28">
        <v>0</v>
      </c>
      <c r="AB9" s="28">
        <v>0</v>
      </c>
      <c r="AC9" s="28">
        <v>0</v>
      </c>
      <c r="AD9" s="28">
        <v>0</v>
      </c>
      <c r="AE9" s="28">
        <v>0</v>
      </c>
      <c r="AF9" s="28">
        <v>0</v>
      </c>
      <c r="AG9" s="28">
        <v>0</v>
      </c>
      <c r="AH9" s="28">
        <v>0</v>
      </c>
      <c r="AI9" s="28">
        <v>0</v>
      </c>
      <c r="AJ9" s="28">
        <v>0</v>
      </c>
      <c r="AK9" s="28">
        <v>0</v>
      </c>
      <c r="AL9" s="28">
        <v>0</v>
      </c>
      <c r="AM9" s="28">
        <v>0</v>
      </c>
      <c r="AN9" s="28">
        <v>0</v>
      </c>
      <c r="AO9" s="28">
        <v>0</v>
      </c>
      <c r="AP9" s="28">
        <v>0</v>
      </c>
      <c r="AQ9" s="28">
        <v>0</v>
      </c>
      <c r="AR9" s="28">
        <v>0</v>
      </c>
      <c r="AS9" s="28">
        <v>0</v>
      </c>
      <c r="AT9" s="28">
        <v>0</v>
      </c>
      <c r="AU9" s="28">
        <v>0</v>
      </c>
      <c r="AV9" s="28">
        <v>0</v>
      </c>
      <c r="AW9" s="28">
        <v>0</v>
      </c>
    </row>
    <row r="10" spans="1:49">
      <c r="B10" s="1" t="s">
        <v>19</v>
      </c>
      <c r="C10" s="1" t="s">
        <v>20</v>
      </c>
      <c r="D10" s="1" t="s">
        <v>21</v>
      </c>
      <c r="E10" s="1" t="s">
        <v>22</v>
      </c>
      <c r="F10" s="28" t="s">
        <v>8</v>
      </c>
      <c r="G10" s="28" t="s">
        <v>8</v>
      </c>
      <c r="H10" s="28" t="s">
        <v>8</v>
      </c>
      <c r="I10" s="28" t="s">
        <v>8</v>
      </c>
      <c r="J10" s="28" t="s">
        <v>8</v>
      </c>
      <c r="K10" s="28" t="s">
        <v>8</v>
      </c>
      <c r="L10" s="28" t="s">
        <v>8</v>
      </c>
      <c r="M10" s="28" t="s">
        <v>8</v>
      </c>
      <c r="N10" s="28" t="s">
        <v>8</v>
      </c>
      <c r="O10" s="28" t="s">
        <v>8</v>
      </c>
      <c r="P10" s="28" t="s">
        <v>8</v>
      </c>
      <c r="Q10" s="28" t="s">
        <v>8</v>
      </c>
      <c r="R10" s="28" t="s">
        <v>8</v>
      </c>
      <c r="S10" s="28" t="s">
        <v>8</v>
      </c>
      <c r="T10" s="28" t="s">
        <v>8</v>
      </c>
      <c r="U10" s="28" t="s">
        <v>8</v>
      </c>
      <c r="V10" s="28" t="s">
        <v>8</v>
      </c>
      <c r="W10" s="28" t="s">
        <v>8</v>
      </c>
      <c r="X10" s="28" t="s">
        <v>8</v>
      </c>
      <c r="Y10" s="28" t="s">
        <v>8</v>
      </c>
      <c r="Z10" s="28" t="s">
        <v>8</v>
      </c>
      <c r="AA10" s="28" t="s">
        <v>8</v>
      </c>
      <c r="AB10" s="28" t="s">
        <v>8</v>
      </c>
      <c r="AC10" s="28" t="s">
        <v>8</v>
      </c>
      <c r="AD10" s="28" t="s">
        <v>8</v>
      </c>
      <c r="AE10" s="28" t="s">
        <v>8</v>
      </c>
      <c r="AF10" s="28" t="s">
        <v>8</v>
      </c>
      <c r="AG10" s="28" t="s">
        <v>8</v>
      </c>
      <c r="AH10" s="28" t="s">
        <v>8</v>
      </c>
      <c r="AI10" s="28" t="s">
        <v>8</v>
      </c>
      <c r="AJ10" s="28" t="s">
        <v>8</v>
      </c>
      <c r="AK10" s="28" t="s">
        <v>8</v>
      </c>
      <c r="AL10" s="28" t="s">
        <v>8</v>
      </c>
      <c r="AM10" s="28" t="s">
        <v>8</v>
      </c>
      <c r="AN10" s="28" t="s">
        <v>8</v>
      </c>
      <c r="AO10" s="28" t="s">
        <v>8</v>
      </c>
      <c r="AP10" s="28" t="s">
        <v>8</v>
      </c>
      <c r="AQ10" s="28">
        <v>20</v>
      </c>
      <c r="AR10" s="28">
        <v>20</v>
      </c>
      <c r="AS10" s="28">
        <v>20</v>
      </c>
      <c r="AT10" s="28">
        <v>20</v>
      </c>
      <c r="AU10" s="28">
        <v>20</v>
      </c>
      <c r="AV10" s="28">
        <v>20</v>
      </c>
      <c r="AW10" s="28">
        <v>20</v>
      </c>
    </row>
    <row r="11" spans="1:49">
      <c r="B11" s="1" t="s">
        <v>23</v>
      </c>
      <c r="C11" s="1" t="s">
        <v>24</v>
      </c>
      <c r="D11" s="1" t="s">
        <v>21</v>
      </c>
      <c r="E11" s="1" t="s">
        <v>25</v>
      </c>
      <c r="F11" s="28" t="s">
        <v>8</v>
      </c>
      <c r="G11" s="28" t="s">
        <v>8</v>
      </c>
      <c r="H11" s="28" t="s">
        <v>8</v>
      </c>
      <c r="I11" s="28" t="s">
        <v>8</v>
      </c>
      <c r="J11" s="28" t="s">
        <v>8</v>
      </c>
      <c r="K11" s="28" t="s">
        <v>8</v>
      </c>
      <c r="L11" s="28" t="s">
        <v>8</v>
      </c>
      <c r="M11" s="28" t="s">
        <v>8</v>
      </c>
      <c r="N11" s="28" t="s">
        <v>8</v>
      </c>
      <c r="O11" s="28" t="s">
        <v>8</v>
      </c>
      <c r="P11" s="28" t="s">
        <v>8</v>
      </c>
      <c r="Q11" s="28" t="s">
        <v>8</v>
      </c>
      <c r="R11" s="28" t="s">
        <v>8</v>
      </c>
      <c r="S11" s="28" t="s">
        <v>8</v>
      </c>
      <c r="T11" s="28" t="s">
        <v>8</v>
      </c>
      <c r="U11" s="28">
        <v>30</v>
      </c>
      <c r="V11" s="28">
        <v>30</v>
      </c>
      <c r="W11" s="28">
        <v>30</v>
      </c>
      <c r="X11" s="28">
        <v>30</v>
      </c>
      <c r="Y11" s="28">
        <v>30</v>
      </c>
      <c r="Z11" s="28">
        <v>30</v>
      </c>
      <c r="AA11" s="28">
        <v>30</v>
      </c>
      <c r="AB11" s="28">
        <v>25</v>
      </c>
      <c r="AC11" s="28">
        <v>25</v>
      </c>
      <c r="AD11" s="28">
        <v>25</v>
      </c>
      <c r="AE11" s="28">
        <v>23</v>
      </c>
      <c r="AF11" s="28">
        <v>20</v>
      </c>
      <c r="AG11" s="28">
        <v>20</v>
      </c>
      <c r="AH11" s="28">
        <v>10</v>
      </c>
      <c r="AI11" s="28">
        <v>10</v>
      </c>
      <c r="AJ11" s="28">
        <v>10</v>
      </c>
      <c r="AK11" s="28">
        <v>10</v>
      </c>
      <c r="AL11" s="28">
        <v>10</v>
      </c>
      <c r="AM11" s="28">
        <v>10</v>
      </c>
      <c r="AN11" s="28">
        <v>15</v>
      </c>
      <c r="AO11" s="28">
        <v>15</v>
      </c>
      <c r="AP11" s="28">
        <v>15</v>
      </c>
      <c r="AQ11" s="28">
        <v>15</v>
      </c>
      <c r="AR11" s="28">
        <v>15</v>
      </c>
      <c r="AS11" s="28">
        <v>15</v>
      </c>
      <c r="AT11" s="28">
        <v>15</v>
      </c>
      <c r="AU11" s="28">
        <v>15</v>
      </c>
      <c r="AV11" s="28">
        <v>15</v>
      </c>
      <c r="AW11" s="28">
        <v>15</v>
      </c>
    </row>
    <row r="12" spans="1:49">
      <c r="B12" s="1" t="s">
        <v>26</v>
      </c>
      <c r="C12" s="1" t="s">
        <v>27</v>
      </c>
      <c r="D12" s="1" t="s">
        <v>21</v>
      </c>
      <c r="E12" s="1" t="s">
        <v>28</v>
      </c>
      <c r="F12" s="28" t="s">
        <v>8</v>
      </c>
      <c r="G12" s="28" t="s">
        <v>8</v>
      </c>
      <c r="H12" s="28" t="s">
        <v>8</v>
      </c>
      <c r="I12" s="28" t="s">
        <v>8</v>
      </c>
      <c r="J12" s="28" t="s">
        <v>8</v>
      </c>
      <c r="K12" s="28" t="s">
        <v>8</v>
      </c>
      <c r="L12" s="28" t="s">
        <v>8</v>
      </c>
      <c r="M12" s="28" t="s">
        <v>8</v>
      </c>
      <c r="N12" s="28" t="s">
        <v>8</v>
      </c>
      <c r="O12" s="28" t="s">
        <v>8</v>
      </c>
      <c r="P12" s="28" t="s">
        <v>8</v>
      </c>
      <c r="Q12" s="28" t="s">
        <v>8</v>
      </c>
      <c r="R12" s="28" t="s">
        <v>8</v>
      </c>
      <c r="S12" s="28" t="s">
        <v>8</v>
      </c>
      <c r="T12" s="28" t="s">
        <v>8</v>
      </c>
      <c r="U12" s="28" t="s">
        <v>8</v>
      </c>
      <c r="V12" s="28" t="s">
        <v>8</v>
      </c>
      <c r="W12" s="28" t="s">
        <v>8</v>
      </c>
      <c r="X12" s="28" t="s">
        <v>8</v>
      </c>
      <c r="Y12" s="28" t="s">
        <v>8</v>
      </c>
      <c r="Z12" s="28">
        <v>0</v>
      </c>
      <c r="AA12" s="28">
        <v>0</v>
      </c>
      <c r="AB12" s="28">
        <v>0</v>
      </c>
      <c r="AC12" s="28">
        <v>0</v>
      </c>
      <c r="AD12" s="28">
        <v>0</v>
      </c>
      <c r="AE12" s="28">
        <v>0</v>
      </c>
      <c r="AF12" s="28">
        <v>0</v>
      </c>
      <c r="AG12" s="28">
        <v>0</v>
      </c>
      <c r="AH12" s="28">
        <v>0</v>
      </c>
      <c r="AI12" s="28">
        <v>0</v>
      </c>
      <c r="AJ12" s="28">
        <v>0</v>
      </c>
      <c r="AK12" s="28">
        <v>0</v>
      </c>
      <c r="AL12" s="28">
        <v>10</v>
      </c>
      <c r="AM12" s="28">
        <v>10</v>
      </c>
      <c r="AN12" s="28">
        <v>10</v>
      </c>
      <c r="AO12" s="28">
        <v>10</v>
      </c>
      <c r="AP12" s="28">
        <v>10</v>
      </c>
      <c r="AQ12" s="28">
        <v>10</v>
      </c>
      <c r="AR12" s="28">
        <v>10</v>
      </c>
      <c r="AS12" s="28">
        <v>10</v>
      </c>
      <c r="AT12" s="28">
        <v>10</v>
      </c>
      <c r="AU12" s="28">
        <v>10</v>
      </c>
      <c r="AV12" s="28">
        <v>10</v>
      </c>
      <c r="AW12" s="28">
        <v>10</v>
      </c>
    </row>
    <row r="13" spans="1:49">
      <c r="B13" s="1" t="s">
        <v>29</v>
      </c>
      <c r="C13" s="1" t="s">
        <v>30</v>
      </c>
      <c r="D13" s="1" t="s">
        <v>6</v>
      </c>
      <c r="E13" s="1" t="s">
        <v>31</v>
      </c>
      <c r="F13" s="28">
        <v>34</v>
      </c>
      <c r="G13" s="28">
        <v>34</v>
      </c>
      <c r="H13" s="28">
        <v>34</v>
      </c>
      <c r="I13" s="28">
        <v>34</v>
      </c>
      <c r="J13" s="28">
        <v>34</v>
      </c>
      <c r="K13" s="28">
        <v>34</v>
      </c>
      <c r="L13" s="28">
        <v>34</v>
      </c>
      <c r="M13" s="28">
        <v>34</v>
      </c>
      <c r="N13" s="28">
        <v>34</v>
      </c>
      <c r="O13" s="28">
        <v>34</v>
      </c>
      <c r="P13" s="28">
        <v>34</v>
      </c>
      <c r="Q13" s="28">
        <v>34</v>
      </c>
      <c r="R13" s="28">
        <v>39</v>
      </c>
      <c r="S13" s="28">
        <v>39</v>
      </c>
      <c r="T13" s="28">
        <v>39</v>
      </c>
      <c r="U13" s="28">
        <v>39</v>
      </c>
      <c r="V13" s="28">
        <v>39</v>
      </c>
      <c r="W13" s="28">
        <v>39</v>
      </c>
      <c r="X13" s="28">
        <v>39</v>
      </c>
      <c r="Y13" s="28" t="s">
        <v>8</v>
      </c>
      <c r="Z13" s="28" t="s">
        <v>8</v>
      </c>
      <c r="AA13" s="28">
        <v>35</v>
      </c>
      <c r="AB13" s="28">
        <v>35</v>
      </c>
      <c r="AC13" s="28" t="s">
        <v>8</v>
      </c>
      <c r="AD13" s="28">
        <v>34.5</v>
      </c>
      <c r="AE13" s="28">
        <v>34.5</v>
      </c>
      <c r="AF13" s="28">
        <v>34.5</v>
      </c>
      <c r="AG13" s="28">
        <v>34.5</v>
      </c>
      <c r="AH13" s="28">
        <v>34.5</v>
      </c>
      <c r="AI13" s="28">
        <v>34.5</v>
      </c>
      <c r="AJ13" s="28" t="s">
        <v>8</v>
      </c>
      <c r="AK13" s="28" t="s">
        <v>8</v>
      </c>
      <c r="AL13" s="28" t="s">
        <v>8</v>
      </c>
      <c r="AM13" s="28" t="s">
        <v>8</v>
      </c>
      <c r="AN13" s="28" t="s">
        <v>8</v>
      </c>
      <c r="AO13" s="28" t="s">
        <v>8</v>
      </c>
      <c r="AP13" s="28" t="s">
        <v>8</v>
      </c>
      <c r="AQ13" s="28" t="s">
        <v>8</v>
      </c>
      <c r="AR13" s="28" t="s">
        <v>8</v>
      </c>
      <c r="AS13" s="28" t="s">
        <v>8</v>
      </c>
      <c r="AT13" s="28" t="s">
        <v>8</v>
      </c>
      <c r="AU13" s="28" t="s">
        <v>8</v>
      </c>
      <c r="AV13" s="28" t="s">
        <v>8</v>
      </c>
      <c r="AW13" s="28" t="s">
        <v>8</v>
      </c>
    </row>
    <row r="14" spans="1:49">
      <c r="B14" s="1" t="s">
        <v>32</v>
      </c>
      <c r="C14" s="1" t="s">
        <v>33</v>
      </c>
      <c r="D14" s="1" t="s">
        <v>11</v>
      </c>
      <c r="E14" s="1" t="s">
        <v>34</v>
      </c>
      <c r="F14" s="28">
        <v>0</v>
      </c>
      <c r="G14" s="28">
        <v>0</v>
      </c>
      <c r="H14" s="28">
        <v>0</v>
      </c>
      <c r="I14" s="28">
        <v>0</v>
      </c>
      <c r="J14" s="28">
        <v>0</v>
      </c>
      <c r="K14" s="28">
        <v>0</v>
      </c>
      <c r="L14" s="28">
        <v>0</v>
      </c>
      <c r="M14" s="28">
        <v>0</v>
      </c>
      <c r="N14" s="28">
        <v>0</v>
      </c>
      <c r="O14" s="28">
        <v>0</v>
      </c>
      <c r="P14" s="28">
        <v>0</v>
      </c>
      <c r="Q14" s="28">
        <v>0</v>
      </c>
      <c r="R14" s="28">
        <v>0</v>
      </c>
      <c r="S14" s="28">
        <v>0</v>
      </c>
      <c r="T14" s="28">
        <v>0</v>
      </c>
      <c r="U14" s="28">
        <v>0</v>
      </c>
      <c r="V14" s="28">
        <v>0</v>
      </c>
      <c r="W14" s="28">
        <v>0</v>
      </c>
      <c r="X14" s="28">
        <v>0</v>
      </c>
      <c r="Y14" s="28">
        <v>0</v>
      </c>
      <c r="Z14" s="28">
        <v>0</v>
      </c>
      <c r="AA14" s="28">
        <v>0</v>
      </c>
      <c r="AB14" s="28">
        <v>0</v>
      </c>
      <c r="AC14" s="28">
        <v>0</v>
      </c>
      <c r="AD14" s="28">
        <v>0</v>
      </c>
      <c r="AE14" s="28">
        <v>0</v>
      </c>
      <c r="AF14" s="28">
        <v>0</v>
      </c>
      <c r="AG14" s="28">
        <v>0</v>
      </c>
      <c r="AH14" s="28">
        <v>0</v>
      </c>
      <c r="AI14" s="28">
        <v>0</v>
      </c>
      <c r="AJ14" s="28">
        <v>0</v>
      </c>
      <c r="AK14" s="28">
        <v>0</v>
      </c>
      <c r="AL14" s="28">
        <v>0</v>
      </c>
      <c r="AM14" s="28">
        <v>0</v>
      </c>
      <c r="AN14" s="28">
        <v>0</v>
      </c>
      <c r="AO14" s="28">
        <v>0</v>
      </c>
      <c r="AP14" s="28">
        <v>0</v>
      </c>
      <c r="AQ14" s="28">
        <v>0</v>
      </c>
      <c r="AR14" s="28">
        <v>0</v>
      </c>
      <c r="AS14" s="28">
        <v>0</v>
      </c>
      <c r="AT14" s="28">
        <v>0</v>
      </c>
      <c r="AU14" s="28">
        <v>0</v>
      </c>
      <c r="AV14" s="28">
        <v>0</v>
      </c>
      <c r="AW14" s="28">
        <v>9</v>
      </c>
    </row>
    <row r="15" spans="1:49">
      <c r="B15" s="1" t="s">
        <v>35</v>
      </c>
      <c r="C15" s="1" t="s">
        <v>36</v>
      </c>
      <c r="D15" s="1" t="s">
        <v>37</v>
      </c>
      <c r="E15" s="1" t="s">
        <v>38</v>
      </c>
      <c r="F15" s="28">
        <v>33</v>
      </c>
      <c r="G15" s="28">
        <v>33</v>
      </c>
      <c r="H15" s="28">
        <v>33</v>
      </c>
      <c r="I15" s="28">
        <v>33</v>
      </c>
      <c r="J15" s="28">
        <v>33</v>
      </c>
      <c r="K15" s="28">
        <v>33</v>
      </c>
      <c r="L15" s="28">
        <v>33</v>
      </c>
      <c r="M15" s="28">
        <v>33</v>
      </c>
      <c r="N15" s="28">
        <v>33</v>
      </c>
      <c r="O15" s="28">
        <v>33</v>
      </c>
      <c r="P15" s="28">
        <v>20</v>
      </c>
      <c r="Q15" s="28">
        <v>20</v>
      </c>
      <c r="R15" s="28">
        <v>20</v>
      </c>
      <c r="S15" s="28">
        <v>30</v>
      </c>
      <c r="T15" s="28">
        <v>30</v>
      </c>
      <c r="U15" s="28">
        <v>30</v>
      </c>
      <c r="V15" s="28">
        <v>30</v>
      </c>
      <c r="W15" s="28">
        <v>33</v>
      </c>
      <c r="X15" s="28">
        <v>33</v>
      </c>
      <c r="Y15" s="28">
        <v>35</v>
      </c>
      <c r="Z15" s="28">
        <v>35</v>
      </c>
      <c r="AA15" s="28">
        <v>35</v>
      </c>
      <c r="AB15" s="28">
        <v>35</v>
      </c>
      <c r="AC15" s="28">
        <v>35</v>
      </c>
      <c r="AD15" s="28">
        <v>35</v>
      </c>
      <c r="AE15" s="28">
        <v>35</v>
      </c>
      <c r="AF15" s="28">
        <v>35</v>
      </c>
      <c r="AG15" s="28">
        <v>35</v>
      </c>
      <c r="AH15" s="28">
        <v>35</v>
      </c>
      <c r="AI15" s="28">
        <v>35</v>
      </c>
      <c r="AJ15" s="28">
        <v>35</v>
      </c>
      <c r="AK15" s="28">
        <v>35</v>
      </c>
      <c r="AL15" s="28">
        <v>35</v>
      </c>
      <c r="AM15" s="28">
        <v>35</v>
      </c>
      <c r="AN15" s="28">
        <v>35</v>
      </c>
      <c r="AO15" s="28">
        <v>35</v>
      </c>
      <c r="AP15" s="28">
        <v>35</v>
      </c>
      <c r="AQ15" s="28">
        <v>35</v>
      </c>
      <c r="AR15" s="28">
        <v>30</v>
      </c>
      <c r="AS15" s="28">
        <v>30</v>
      </c>
      <c r="AT15" s="28">
        <v>30</v>
      </c>
      <c r="AU15" s="28">
        <v>35</v>
      </c>
      <c r="AV15" s="28">
        <v>35</v>
      </c>
      <c r="AW15" s="28">
        <v>35</v>
      </c>
    </row>
    <row r="16" spans="1:49">
      <c r="B16" s="1" t="s">
        <v>39</v>
      </c>
      <c r="C16" s="1" t="s">
        <v>40</v>
      </c>
      <c r="D16" s="1" t="s">
        <v>11</v>
      </c>
      <c r="E16" s="1" t="s">
        <v>41</v>
      </c>
      <c r="F16" s="28" t="s">
        <v>8</v>
      </c>
      <c r="G16" s="28" t="s">
        <v>8</v>
      </c>
      <c r="H16" s="28" t="s">
        <v>8</v>
      </c>
      <c r="I16" s="28" t="s">
        <v>8</v>
      </c>
      <c r="J16" s="28" t="s">
        <v>8</v>
      </c>
      <c r="K16" s="28" t="s">
        <v>8</v>
      </c>
      <c r="L16" s="28" t="s">
        <v>8</v>
      </c>
      <c r="M16" s="28" t="s">
        <v>8</v>
      </c>
      <c r="N16" s="28" t="s">
        <v>8</v>
      </c>
      <c r="O16" s="28" t="s">
        <v>8</v>
      </c>
      <c r="P16" s="28" t="s">
        <v>8</v>
      </c>
      <c r="Q16" s="28" t="s">
        <v>8</v>
      </c>
      <c r="R16" s="28" t="s">
        <v>8</v>
      </c>
      <c r="S16" s="28" t="s">
        <v>8</v>
      </c>
      <c r="T16" s="28" t="s">
        <v>8</v>
      </c>
      <c r="U16" s="28" t="s">
        <v>8</v>
      </c>
      <c r="V16" s="28">
        <v>20</v>
      </c>
      <c r="W16" s="28">
        <v>30</v>
      </c>
      <c r="X16" s="28">
        <v>30</v>
      </c>
      <c r="Y16" s="28">
        <v>30</v>
      </c>
      <c r="Z16" s="28">
        <v>25</v>
      </c>
      <c r="AA16" s="28">
        <v>25</v>
      </c>
      <c r="AB16" s="28">
        <v>20</v>
      </c>
      <c r="AC16" s="28">
        <v>20</v>
      </c>
      <c r="AD16" s="28">
        <v>20</v>
      </c>
      <c r="AE16" s="28">
        <v>20</v>
      </c>
      <c r="AF16" s="28">
        <v>20</v>
      </c>
      <c r="AG16" s="28">
        <v>20</v>
      </c>
      <c r="AH16" s="28">
        <v>20</v>
      </c>
      <c r="AI16" s="28">
        <v>20</v>
      </c>
      <c r="AJ16" s="28">
        <v>20</v>
      </c>
      <c r="AK16" s="28">
        <v>20</v>
      </c>
      <c r="AL16" s="28">
        <v>20</v>
      </c>
      <c r="AM16" s="28">
        <v>20</v>
      </c>
      <c r="AN16" s="28">
        <v>20</v>
      </c>
      <c r="AO16" s="28">
        <v>20</v>
      </c>
      <c r="AP16" s="28">
        <v>20</v>
      </c>
      <c r="AQ16" s="28">
        <v>20</v>
      </c>
      <c r="AR16" s="28">
        <v>20</v>
      </c>
      <c r="AS16" s="28">
        <v>20</v>
      </c>
      <c r="AT16" s="28">
        <v>18</v>
      </c>
      <c r="AU16" s="28">
        <v>18</v>
      </c>
      <c r="AV16" s="28">
        <v>18</v>
      </c>
      <c r="AW16" s="28">
        <v>18</v>
      </c>
    </row>
    <row r="17" spans="2:49">
      <c r="B17" s="1" t="s">
        <v>11</v>
      </c>
      <c r="C17" s="1" t="s">
        <v>42</v>
      </c>
      <c r="D17" s="1" t="s">
        <v>43</v>
      </c>
      <c r="E17" s="1" t="s">
        <v>44</v>
      </c>
      <c r="F17" s="28" t="s">
        <v>8</v>
      </c>
      <c r="G17" s="28" t="s">
        <v>8</v>
      </c>
      <c r="H17" s="28" t="s">
        <v>8</v>
      </c>
      <c r="I17" s="28" t="s">
        <v>8</v>
      </c>
      <c r="J17" s="28" t="s">
        <v>8</v>
      </c>
      <c r="K17" s="28" t="s">
        <v>8</v>
      </c>
      <c r="L17" s="28" t="s">
        <v>8</v>
      </c>
      <c r="M17" s="28" t="s">
        <v>8</v>
      </c>
      <c r="N17" s="28" t="s">
        <v>8</v>
      </c>
      <c r="O17" s="28" t="s">
        <v>8</v>
      </c>
      <c r="P17" s="28" t="s">
        <v>8</v>
      </c>
      <c r="Q17" s="28" t="s">
        <v>8</v>
      </c>
      <c r="R17" s="28" t="s">
        <v>8</v>
      </c>
      <c r="S17" s="28" t="s">
        <v>8</v>
      </c>
      <c r="T17" s="28" t="s">
        <v>8</v>
      </c>
      <c r="U17" s="28" t="s">
        <v>8</v>
      </c>
      <c r="V17" s="28" t="s">
        <v>8</v>
      </c>
      <c r="W17" s="28" t="s">
        <v>8</v>
      </c>
      <c r="X17" s="28" t="s">
        <v>8</v>
      </c>
      <c r="Y17" s="28" t="s">
        <v>8</v>
      </c>
      <c r="Z17" s="28" t="s">
        <v>8</v>
      </c>
      <c r="AA17" s="28" t="s">
        <v>8</v>
      </c>
      <c r="AB17" s="28" t="s">
        <v>8</v>
      </c>
      <c r="AC17" s="28" t="s">
        <v>8</v>
      </c>
      <c r="AD17" s="28" t="s">
        <v>8</v>
      </c>
      <c r="AE17" s="28" t="s">
        <v>8</v>
      </c>
      <c r="AF17" s="28" t="s">
        <v>8</v>
      </c>
      <c r="AG17" s="28" t="s">
        <v>8</v>
      </c>
      <c r="AH17" s="28" t="s">
        <v>8</v>
      </c>
      <c r="AI17" s="28" t="s">
        <v>8</v>
      </c>
      <c r="AJ17" s="28" t="s">
        <v>8</v>
      </c>
      <c r="AK17" s="28" t="s">
        <v>8</v>
      </c>
      <c r="AL17" s="28" t="s">
        <v>8</v>
      </c>
      <c r="AM17" s="28" t="s">
        <v>8</v>
      </c>
      <c r="AN17" s="28">
        <v>44</v>
      </c>
      <c r="AO17" s="28">
        <v>44</v>
      </c>
      <c r="AP17" s="28">
        <v>44</v>
      </c>
      <c r="AQ17" s="28">
        <v>34</v>
      </c>
      <c r="AR17" s="28">
        <v>34</v>
      </c>
      <c r="AS17" s="28">
        <v>34</v>
      </c>
      <c r="AT17" s="28">
        <v>34</v>
      </c>
      <c r="AU17" s="28">
        <v>34</v>
      </c>
      <c r="AV17" s="28">
        <v>34</v>
      </c>
      <c r="AW17" s="28">
        <v>34</v>
      </c>
    </row>
    <row r="18" spans="2:49">
      <c r="B18" s="1" t="s">
        <v>45</v>
      </c>
      <c r="C18" s="1" t="s">
        <v>46</v>
      </c>
      <c r="D18" s="1" t="s">
        <v>29</v>
      </c>
      <c r="E18" s="1" t="s">
        <v>47</v>
      </c>
      <c r="F18" s="28" t="s">
        <v>8</v>
      </c>
      <c r="G18" s="28" t="s">
        <v>8</v>
      </c>
      <c r="H18" s="28" t="s">
        <v>8</v>
      </c>
      <c r="I18" s="28" t="s">
        <v>8</v>
      </c>
      <c r="J18" s="28" t="s">
        <v>8</v>
      </c>
      <c r="K18" s="28" t="s">
        <v>8</v>
      </c>
      <c r="L18" s="28" t="s">
        <v>8</v>
      </c>
      <c r="M18" s="28" t="s">
        <v>8</v>
      </c>
      <c r="N18" s="28" t="s">
        <v>8</v>
      </c>
      <c r="O18" s="28" t="s">
        <v>8</v>
      </c>
      <c r="P18" s="28" t="s">
        <v>8</v>
      </c>
      <c r="Q18" s="28" t="s">
        <v>8</v>
      </c>
      <c r="R18" s="28" t="s">
        <v>8</v>
      </c>
      <c r="S18" s="28" t="s">
        <v>8</v>
      </c>
      <c r="T18" s="28" t="s">
        <v>8</v>
      </c>
      <c r="U18" s="28" t="s">
        <v>8</v>
      </c>
      <c r="V18" s="28" t="s">
        <v>8</v>
      </c>
      <c r="W18" s="28" t="s">
        <v>8</v>
      </c>
      <c r="X18" s="28" t="s">
        <v>8</v>
      </c>
      <c r="Y18" s="28" t="s">
        <v>8</v>
      </c>
      <c r="Z18" s="28" t="s">
        <v>8</v>
      </c>
      <c r="AA18" s="28" t="s">
        <v>8</v>
      </c>
      <c r="AB18" s="28" t="s">
        <v>8</v>
      </c>
      <c r="AC18" s="28" t="s">
        <v>8</v>
      </c>
      <c r="AD18" s="28" t="s">
        <v>8</v>
      </c>
      <c r="AE18" s="28" t="s">
        <v>8</v>
      </c>
      <c r="AF18" s="28" t="s">
        <v>8</v>
      </c>
      <c r="AG18" s="28" t="s">
        <v>8</v>
      </c>
      <c r="AH18" s="28" t="s">
        <v>8</v>
      </c>
      <c r="AI18" s="28" t="s">
        <v>8</v>
      </c>
      <c r="AJ18" s="28" t="s">
        <v>8</v>
      </c>
      <c r="AK18" s="28" t="s">
        <v>8</v>
      </c>
      <c r="AL18" s="28" t="s">
        <v>8</v>
      </c>
      <c r="AM18" s="28" t="s">
        <v>8</v>
      </c>
      <c r="AN18" s="28" t="s">
        <v>8</v>
      </c>
      <c r="AO18" s="28" t="s">
        <v>8</v>
      </c>
      <c r="AP18" s="28" t="s">
        <v>8</v>
      </c>
      <c r="AQ18" s="28" t="s">
        <v>8</v>
      </c>
      <c r="AR18" s="28" t="s">
        <v>8</v>
      </c>
      <c r="AS18" s="28" t="s">
        <v>8</v>
      </c>
      <c r="AT18" s="28" t="s">
        <v>8</v>
      </c>
      <c r="AU18" s="28" t="s">
        <v>8</v>
      </c>
      <c r="AV18" s="28" t="s">
        <v>8</v>
      </c>
      <c r="AW18" s="28" t="s">
        <v>8</v>
      </c>
    </row>
    <row r="19" spans="2:49">
      <c r="B19" s="1" t="s">
        <v>48</v>
      </c>
      <c r="C19" s="1" t="s">
        <v>49</v>
      </c>
      <c r="D19" s="1" t="s">
        <v>29</v>
      </c>
      <c r="E19" s="1" t="s">
        <v>50</v>
      </c>
      <c r="F19" s="28" t="s">
        <v>8</v>
      </c>
      <c r="G19" s="28" t="s">
        <v>8</v>
      </c>
      <c r="H19" s="28" t="s">
        <v>8</v>
      </c>
      <c r="I19" s="28" t="s">
        <v>8</v>
      </c>
      <c r="J19" s="28" t="s">
        <v>8</v>
      </c>
      <c r="K19" s="28" t="s">
        <v>8</v>
      </c>
      <c r="L19" s="28" t="s">
        <v>8</v>
      </c>
      <c r="M19" s="28" t="s">
        <v>8</v>
      </c>
      <c r="N19" s="28" t="s">
        <v>8</v>
      </c>
      <c r="O19" s="28" t="s">
        <v>8</v>
      </c>
      <c r="P19" s="28" t="s">
        <v>8</v>
      </c>
      <c r="Q19" s="28" t="s">
        <v>8</v>
      </c>
      <c r="R19" s="28" t="s">
        <v>8</v>
      </c>
      <c r="S19" s="28" t="s">
        <v>8</v>
      </c>
      <c r="T19" s="28" t="s">
        <v>8</v>
      </c>
      <c r="U19" s="28" t="s">
        <v>8</v>
      </c>
      <c r="V19" s="28" t="s">
        <v>8</v>
      </c>
      <c r="W19" s="28" t="s">
        <v>8</v>
      </c>
      <c r="X19" s="28" t="s">
        <v>8</v>
      </c>
      <c r="Y19" s="28" t="s">
        <v>8</v>
      </c>
      <c r="Z19" s="28" t="s">
        <v>8</v>
      </c>
      <c r="AA19" s="28" t="s">
        <v>8</v>
      </c>
      <c r="AB19" s="28" t="s">
        <v>8</v>
      </c>
      <c r="AC19" s="28" t="s">
        <v>8</v>
      </c>
      <c r="AD19" s="28" t="s">
        <v>8</v>
      </c>
      <c r="AE19" s="28" t="s">
        <v>8</v>
      </c>
      <c r="AF19" s="28" t="s">
        <v>8</v>
      </c>
      <c r="AG19" s="28" t="s">
        <v>8</v>
      </c>
      <c r="AH19" s="28" t="s">
        <v>8</v>
      </c>
      <c r="AI19" s="28" t="s">
        <v>8</v>
      </c>
      <c r="AJ19" s="28" t="s">
        <v>8</v>
      </c>
      <c r="AK19" s="28" t="s">
        <v>8</v>
      </c>
      <c r="AL19" s="28" t="s">
        <v>8</v>
      </c>
      <c r="AM19" s="28" t="s">
        <v>8</v>
      </c>
      <c r="AN19" s="28" t="s">
        <v>8</v>
      </c>
      <c r="AO19" s="28" t="s">
        <v>8</v>
      </c>
      <c r="AP19" s="28" t="s">
        <v>8</v>
      </c>
      <c r="AQ19" s="28" t="s">
        <v>8</v>
      </c>
      <c r="AR19" s="28" t="s">
        <v>8</v>
      </c>
      <c r="AS19" s="28" t="s">
        <v>8</v>
      </c>
      <c r="AT19" s="28" t="s">
        <v>8</v>
      </c>
      <c r="AU19" s="28" t="s">
        <v>8</v>
      </c>
      <c r="AV19" s="28" t="s">
        <v>8</v>
      </c>
      <c r="AW19" s="28" t="s">
        <v>8</v>
      </c>
    </row>
    <row r="20" spans="2:49">
      <c r="B20" s="1" t="s">
        <v>51</v>
      </c>
      <c r="C20" s="1" t="s">
        <v>52</v>
      </c>
      <c r="D20" s="1" t="s">
        <v>6</v>
      </c>
      <c r="E20" s="1" t="s">
        <v>53</v>
      </c>
      <c r="F20" s="28" t="s">
        <v>8</v>
      </c>
      <c r="G20" s="28" t="s">
        <v>8</v>
      </c>
      <c r="H20" s="28" t="s">
        <v>8</v>
      </c>
      <c r="I20" s="28" t="s">
        <v>8</v>
      </c>
      <c r="J20" s="28" t="s">
        <v>8</v>
      </c>
      <c r="K20" s="28" t="s">
        <v>8</v>
      </c>
      <c r="L20" s="28" t="s">
        <v>8</v>
      </c>
      <c r="M20" s="28">
        <v>40</v>
      </c>
      <c r="N20" s="28">
        <v>40</v>
      </c>
      <c r="O20" s="28">
        <v>40</v>
      </c>
      <c r="P20" s="28">
        <v>40</v>
      </c>
      <c r="Q20" s="28">
        <v>40</v>
      </c>
      <c r="R20" s="28">
        <v>40</v>
      </c>
      <c r="S20" s="28">
        <v>40</v>
      </c>
      <c r="T20" s="28">
        <v>40</v>
      </c>
      <c r="U20" s="28">
        <v>40</v>
      </c>
      <c r="V20" s="28">
        <v>40</v>
      </c>
      <c r="W20" s="28">
        <v>40</v>
      </c>
      <c r="X20" s="28">
        <v>40</v>
      </c>
      <c r="Y20" s="28">
        <v>40</v>
      </c>
      <c r="Z20" s="28">
        <v>40</v>
      </c>
      <c r="AA20" s="28">
        <v>40</v>
      </c>
      <c r="AB20" s="28">
        <v>0</v>
      </c>
      <c r="AC20" s="28">
        <v>0</v>
      </c>
      <c r="AD20" s="28">
        <v>0</v>
      </c>
      <c r="AE20" s="28">
        <v>0</v>
      </c>
      <c r="AF20" s="28">
        <v>0</v>
      </c>
      <c r="AG20" s="28">
        <v>30</v>
      </c>
      <c r="AH20" s="28">
        <v>25</v>
      </c>
      <c r="AI20" s="28">
        <v>25</v>
      </c>
      <c r="AJ20" s="28">
        <v>25</v>
      </c>
      <c r="AK20" s="28">
        <v>25</v>
      </c>
      <c r="AL20" s="28">
        <v>25</v>
      </c>
      <c r="AM20" s="28">
        <v>25</v>
      </c>
      <c r="AN20" s="28">
        <v>25</v>
      </c>
      <c r="AO20" s="28">
        <v>25</v>
      </c>
      <c r="AP20" s="28">
        <v>25</v>
      </c>
      <c r="AQ20" s="28">
        <v>25</v>
      </c>
      <c r="AR20" s="28">
        <v>25</v>
      </c>
      <c r="AS20" s="28">
        <v>25</v>
      </c>
      <c r="AT20" s="28">
        <v>25</v>
      </c>
      <c r="AU20" s="28">
        <v>25</v>
      </c>
      <c r="AV20" s="28">
        <v>25</v>
      </c>
      <c r="AW20" s="28">
        <v>25</v>
      </c>
    </row>
    <row r="21" spans="2:49">
      <c r="B21" s="1" t="s">
        <v>54</v>
      </c>
      <c r="C21" s="1" t="s">
        <v>55</v>
      </c>
      <c r="D21" s="1" t="s">
        <v>43</v>
      </c>
      <c r="E21" s="1" t="s">
        <v>56</v>
      </c>
      <c r="F21" s="28">
        <v>46</v>
      </c>
      <c r="G21" s="28">
        <v>46</v>
      </c>
      <c r="H21" s="28">
        <v>46</v>
      </c>
      <c r="I21" s="28">
        <v>46</v>
      </c>
      <c r="J21" s="28">
        <v>46</v>
      </c>
      <c r="K21" s="28">
        <v>46</v>
      </c>
      <c r="L21" s="28">
        <v>49</v>
      </c>
      <c r="M21" s="28">
        <v>49</v>
      </c>
      <c r="N21" s="28">
        <v>39</v>
      </c>
      <c r="O21" s="28">
        <v>39</v>
      </c>
      <c r="P21" s="28">
        <v>39</v>
      </c>
      <c r="Q21" s="28">
        <v>39</v>
      </c>
      <c r="R21" s="28">
        <v>39</v>
      </c>
      <c r="S21" s="28">
        <v>33</v>
      </c>
      <c r="T21" s="28">
        <v>33</v>
      </c>
      <c r="U21" s="28">
        <v>36</v>
      </c>
      <c r="V21" s="28">
        <v>36</v>
      </c>
      <c r="W21" s="28">
        <v>36</v>
      </c>
      <c r="X21" s="28">
        <v>36</v>
      </c>
      <c r="Y21" s="28">
        <v>36</v>
      </c>
      <c r="Z21" s="28">
        <v>34</v>
      </c>
      <c r="AA21" s="28">
        <v>30</v>
      </c>
      <c r="AB21" s="28">
        <v>30</v>
      </c>
      <c r="AC21" s="28">
        <v>30</v>
      </c>
      <c r="AD21" s="28">
        <v>30</v>
      </c>
      <c r="AE21" s="28">
        <v>30</v>
      </c>
      <c r="AF21" s="28">
        <v>30</v>
      </c>
      <c r="AG21" s="28">
        <v>30</v>
      </c>
      <c r="AH21" s="28">
        <v>30</v>
      </c>
      <c r="AI21" s="28">
        <v>30</v>
      </c>
      <c r="AJ21" s="28">
        <v>30</v>
      </c>
      <c r="AK21" s="28">
        <v>30</v>
      </c>
      <c r="AL21" s="28">
        <v>30</v>
      </c>
      <c r="AM21" s="28">
        <v>30</v>
      </c>
      <c r="AN21" s="28">
        <v>30</v>
      </c>
      <c r="AO21" s="28">
        <v>30</v>
      </c>
      <c r="AP21" s="28">
        <v>30</v>
      </c>
      <c r="AQ21" s="28">
        <v>30</v>
      </c>
      <c r="AR21" s="28">
        <v>30</v>
      </c>
      <c r="AS21" s="28">
        <v>30</v>
      </c>
      <c r="AT21" s="28">
        <v>30</v>
      </c>
      <c r="AU21" s="28">
        <v>30</v>
      </c>
      <c r="AV21" s="28">
        <v>30</v>
      </c>
      <c r="AW21" s="28">
        <v>30</v>
      </c>
    </row>
    <row r="22" spans="2:49">
      <c r="B22" s="1" t="s">
        <v>57</v>
      </c>
      <c r="C22" s="1" t="s">
        <v>58</v>
      </c>
      <c r="D22" s="1" t="s">
        <v>21</v>
      </c>
      <c r="E22" s="1" t="s">
        <v>59</v>
      </c>
      <c r="F22" s="28">
        <v>55</v>
      </c>
      <c r="G22" s="28">
        <v>55</v>
      </c>
      <c r="H22" s="28">
        <v>55</v>
      </c>
      <c r="I22" s="28">
        <v>55</v>
      </c>
      <c r="J22" s="28">
        <v>55</v>
      </c>
      <c r="K22" s="28">
        <v>55</v>
      </c>
      <c r="L22" s="28">
        <v>55</v>
      </c>
      <c r="M22" s="28">
        <v>55</v>
      </c>
      <c r="N22" s="28">
        <v>55</v>
      </c>
      <c r="O22" s="28">
        <v>30</v>
      </c>
      <c r="P22" s="28">
        <v>30</v>
      </c>
      <c r="Q22" s="28">
        <v>30</v>
      </c>
      <c r="R22" s="28">
        <v>30</v>
      </c>
      <c r="S22" s="28">
        <v>30</v>
      </c>
      <c r="T22" s="28">
        <v>34</v>
      </c>
      <c r="U22" s="28">
        <v>34</v>
      </c>
      <c r="V22" s="28">
        <v>34</v>
      </c>
      <c r="W22" s="28">
        <v>34</v>
      </c>
      <c r="X22" s="28">
        <v>34</v>
      </c>
      <c r="Y22" s="28">
        <v>34</v>
      </c>
      <c r="Z22" s="28">
        <v>34</v>
      </c>
      <c r="AA22" s="28">
        <v>34</v>
      </c>
      <c r="AB22" s="28">
        <v>34</v>
      </c>
      <c r="AC22" s="28">
        <v>34</v>
      </c>
      <c r="AD22" s="28">
        <v>34</v>
      </c>
      <c r="AE22" s="28">
        <v>25</v>
      </c>
      <c r="AF22" s="28">
        <v>25</v>
      </c>
      <c r="AG22" s="28">
        <v>25</v>
      </c>
      <c r="AH22" s="28">
        <v>25</v>
      </c>
      <c r="AI22" s="28">
        <v>25</v>
      </c>
      <c r="AJ22" s="28">
        <v>25</v>
      </c>
      <c r="AK22" s="28">
        <v>25</v>
      </c>
      <c r="AL22" s="28">
        <v>25</v>
      </c>
      <c r="AM22" s="28">
        <v>25</v>
      </c>
      <c r="AN22" s="28">
        <v>25</v>
      </c>
      <c r="AO22" s="28">
        <v>25</v>
      </c>
      <c r="AP22" s="28">
        <v>25</v>
      </c>
      <c r="AQ22" s="28">
        <v>25</v>
      </c>
      <c r="AR22" s="28">
        <v>25</v>
      </c>
      <c r="AS22" s="28">
        <v>25</v>
      </c>
      <c r="AT22" s="28">
        <v>25</v>
      </c>
      <c r="AU22" s="28">
        <v>25</v>
      </c>
      <c r="AV22" s="28">
        <v>25</v>
      </c>
      <c r="AW22" s="28">
        <v>24</v>
      </c>
    </row>
    <row r="23" spans="2:49">
      <c r="B23" s="1" t="s">
        <v>60</v>
      </c>
      <c r="C23" s="1" t="s">
        <v>61</v>
      </c>
      <c r="D23" s="1" t="s">
        <v>11</v>
      </c>
      <c r="E23" s="1" t="s">
        <v>62</v>
      </c>
      <c r="F23" s="28" t="s">
        <v>8</v>
      </c>
      <c r="G23" s="28" t="s">
        <v>8</v>
      </c>
      <c r="H23" s="28" t="s">
        <v>8</v>
      </c>
      <c r="I23" s="28" t="s">
        <v>8</v>
      </c>
      <c r="J23" s="28" t="s">
        <v>8</v>
      </c>
      <c r="K23" s="28" t="s">
        <v>8</v>
      </c>
      <c r="L23" s="28" t="s">
        <v>8</v>
      </c>
      <c r="M23" s="28" t="s">
        <v>8</v>
      </c>
      <c r="N23" s="28" t="s">
        <v>8</v>
      </c>
      <c r="O23" s="28" t="s">
        <v>8</v>
      </c>
      <c r="P23" s="28" t="s">
        <v>8</v>
      </c>
      <c r="Q23" s="28" t="s">
        <v>8</v>
      </c>
      <c r="R23" s="28" t="s">
        <v>8</v>
      </c>
      <c r="S23" s="28" t="s">
        <v>8</v>
      </c>
      <c r="T23" s="28" t="s">
        <v>8</v>
      </c>
      <c r="U23" s="28" t="s">
        <v>8</v>
      </c>
      <c r="V23" s="28">
        <v>25</v>
      </c>
      <c r="W23" s="28">
        <v>32</v>
      </c>
      <c r="X23" s="28">
        <v>32</v>
      </c>
      <c r="Y23" s="28">
        <v>32</v>
      </c>
      <c r="Z23" s="28">
        <v>32</v>
      </c>
      <c r="AA23" s="28">
        <v>27</v>
      </c>
      <c r="AB23" s="28">
        <v>27</v>
      </c>
      <c r="AC23" s="28">
        <v>27</v>
      </c>
      <c r="AD23" s="28">
        <v>25</v>
      </c>
      <c r="AE23" s="28">
        <v>24</v>
      </c>
      <c r="AF23" s="28">
        <v>24</v>
      </c>
      <c r="AG23" s="28">
        <v>22</v>
      </c>
      <c r="AH23" s="28">
        <v>22</v>
      </c>
      <c r="AI23" s="28">
        <v>22</v>
      </c>
      <c r="AJ23" s="28">
        <v>20</v>
      </c>
      <c r="AK23" s="28">
        <v>20</v>
      </c>
      <c r="AL23" s="28">
        <v>20</v>
      </c>
      <c r="AM23" s="28">
        <v>20</v>
      </c>
      <c r="AN23" s="28">
        <v>20</v>
      </c>
      <c r="AO23" s="28">
        <v>20</v>
      </c>
      <c r="AP23" s="28">
        <v>20</v>
      </c>
      <c r="AQ23" s="28">
        <v>20</v>
      </c>
      <c r="AR23" s="28">
        <v>20</v>
      </c>
      <c r="AS23" s="28">
        <v>20</v>
      </c>
      <c r="AT23" s="28">
        <v>20</v>
      </c>
      <c r="AU23" s="28">
        <v>20</v>
      </c>
      <c r="AV23" s="28">
        <v>20</v>
      </c>
      <c r="AW23" s="28">
        <v>20</v>
      </c>
    </row>
    <row r="24" spans="2:49">
      <c r="B24" s="1" t="s">
        <v>63</v>
      </c>
      <c r="C24" s="1" t="s">
        <v>64</v>
      </c>
      <c r="D24" s="1" t="s">
        <v>9</v>
      </c>
      <c r="E24" s="1" t="s">
        <v>65</v>
      </c>
      <c r="F24" s="28" t="s">
        <v>8</v>
      </c>
      <c r="G24" s="28" t="s">
        <v>8</v>
      </c>
      <c r="H24" s="28" t="s">
        <v>8</v>
      </c>
      <c r="I24" s="28" t="s">
        <v>8</v>
      </c>
      <c r="J24" s="28" t="s">
        <v>8</v>
      </c>
      <c r="K24" s="28" t="s">
        <v>8</v>
      </c>
      <c r="L24" s="28" t="s">
        <v>8</v>
      </c>
      <c r="M24" s="28" t="s">
        <v>8</v>
      </c>
      <c r="N24" s="28" t="s">
        <v>8</v>
      </c>
      <c r="O24" s="28" t="s">
        <v>8</v>
      </c>
      <c r="P24" s="28" t="s">
        <v>8</v>
      </c>
      <c r="Q24" s="28" t="s">
        <v>8</v>
      </c>
      <c r="R24" s="28" t="s">
        <v>8</v>
      </c>
      <c r="S24" s="28" t="s">
        <v>8</v>
      </c>
      <c r="T24" s="28" t="s">
        <v>8</v>
      </c>
      <c r="U24" s="28" t="s">
        <v>8</v>
      </c>
      <c r="V24" s="28" t="s">
        <v>8</v>
      </c>
      <c r="W24" s="28" t="s">
        <v>8</v>
      </c>
      <c r="X24" s="28" t="s">
        <v>8</v>
      </c>
      <c r="Y24" s="28" t="s">
        <v>8</v>
      </c>
      <c r="Z24" s="28" t="s">
        <v>8</v>
      </c>
      <c r="AA24" s="28" t="s">
        <v>8</v>
      </c>
      <c r="AB24" s="28" t="s">
        <v>8</v>
      </c>
      <c r="AC24" s="28" t="s">
        <v>8</v>
      </c>
      <c r="AD24" s="28" t="s">
        <v>8</v>
      </c>
      <c r="AE24" s="28" t="s">
        <v>8</v>
      </c>
      <c r="AF24" s="28" t="s">
        <v>8</v>
      </c>
      <c r="AG24" s="28" t="s">
        <v>8</v>
      </c>
      <c r="AH24" s="28" t="s">
        <v>8</v>
      </c>
      <c r="AI24" s="28" t="s">
        <v>8</v>
      </c>
      <c r="AJ24" s="28" t="s">
        <v>8</v>
      </c>
      <c r="AK24" s="28" t="s">
        <v>8</v>
      </c>
      <c r="AL24" s="28" t="s">
        <v>8</v>
      </c>
      <c r="AM24" s="28" t="s">
        <v>8</v>
      </c>
      <c r="AN24" s="28" t="s">
        <v>8</v>
      </c>
      <c r="AO24" s="28">
        <v>30</v>
      </c>
      <c r="AP24" s="28">
        <v>30</v>
      </c>
      <c r="AQ24" s="28">
        <v>30</v>
      </c>
      <c r="AR24" s="28">
        <v>30</v>
      </c>
      <c r="AS24" s="28">
        <v>30</v>
      </c>
      <c r="AT24" s="28">
        <v>30</v>
      </c>
      <c r="AU24" s="28">
        <v>30</v>
      </c>
      <c r="AV24" s="28">
        <v>30</v>
      </c>
      <c r="AW24" s="28">
        <v>30</v>
      </c>
    </row>
    <row r="25" spans="2:49">
      <c r="B25" s="1" t="s">
        <v>66</v>
      </c>
      <c r="C25" s="1" t="s">
        <v>67</v>
      </c>
      <c r="D25" s="1" t="s">
        <v>21</v>
      </c>
      <c r="E25" s="1" t="s">
        <v>68</v>
      </c>
      <c r="F25" s="28">
        <v>48</v>
      </c>
      <c r="G25" s="28">
        <v>48</v>
      </c>
      <c r="H25" s="28">
        <v>48</v>
      </c>
      <c r="I25" s="28">
        <v>45</v>
      </c>
      <c r="J25" s="28">
        <v>45</v>
      </c>
      <c r="K25" s="28">
        <v>45</v>
      </c>
      <c r="L25" s="28">
        <v>45</v>
      </c>
      <c r="M25" s="28">
        <v>43</v>
      </c>
      <c r="N25" s="28">
        <v>43</v>
      </c>
      <c r="O25" s="28">
        <v>43</v>
      </c>
      <c r="P25" s="28">
        <v>41</v>
      </c>
      <c r="Q25" s="28">
        <v>39</v>
      </c>
      <c r="R25" s="28">
        <v>39</v>
      </c>
      <c r="S25" s="28">
        <v>40.17</v>
      </c>
      <c r="T25" s="28">
        <v>40.17</v>
      </c>
      <c r="U25" s="28">
        <v>40.17</v>
      </c>
      <c r="V25" s="28">
        <v>40.17</v>
      </c>
      <c r="W25" s="28">
        <v>40.17</v>
      </c>
      <c r="X25" s="28">
        <v>40.17</v>
      </c>
      <c r="Y25" s="28">
        <v>40.17</v>
      </c>
      <c r="Z25" s="28">
        <v>40.17</v>
      </c>
      <c r="AA25" s="28">
        <v>40.17</v>
      </c>
      <c r="AB25" s="28">
        <v>40.17</v>
      </c>
      <c r="AC25" s="28">
        <v>33.99</v>
      </c>
      <c r="AD25" s="28">
        <v>33.99</v>
      </c>
      <c r="AE25" s="28">
        <v>33.99</v>
      </c>
      <c r="AF25" s="28">
        <v>35.97</v>
      </c>
      <c r="AG25" s="28">
        <v>33.99</v>
      </c>
      <c r="AH25" s="28">
        <v>33.99</v>
      </c>
      <c r="AI25" s="28">
        <v>33.99</v>
      </c>
      <c r="AJ25" s="28">
        <v>33.99</v>
      </c>
      <c r="AK25" s="28">
        <v>33.99</v>
      </c>
      <c r="AL25" s="28">
        <v>33.99</v>
      </c>
      <c r="AM25" s="28">
        <v>33.99</v>
      </c>
      <c r="AN25" s="28">
        <v>33.99</v>
      </c>
      <c r="AO25" s="28">
        <v>33.99</v>
      </c>
      <c r="AP25" s="28">
        <v>33.99</v>
      </c>
      <c r="AQ25" s="28">
        <v>33.99</v>
      </c>
      <c r="AR25" s="28">
        <v>29.58</v>
      </c>
      <c r="AS25" s="28">
        <v>29.58</v>
      </c>
      <c r="AT25" s="28">
        <v>25</v>
      </c>
      <c r="AU25" s="28">
        <v>25</v>
      </c>
      <c r="AV25" s="28">
        <v>25</v>
      </c>
      <c r="AW25" s="28">
        <v>25</v>
      </c>
    </row>
    <row r="26" spans="2:49">
      <c r="B26" s="1" t="s">
        <v>69</v>
      </c>
      <c r="C26" s="1" t="s">
        <v>70</v>
      </c>
      <c r="D26" s="1" t="s">
        <v>9</v>
      </c>
      <c r="E26" s="1" t="s">
        <v>71</v>
      </c>
      <c r="F26" s="28" t="s">
        <v>8</v>
      </c>
      <c r="G26" s="28" t="s">
        <v>8</v>
      </c>
      <c r="H26" s="28" t="s">
        <v>8</v>
      </c>
      <c r="I26" s="28" t="s">
        <v>8</v>
      </c>
      <c r="J26" s="28" t="s">
        <v>8</v>
      </c>
      <c r="K26" s="28" t="s">
        <v>8</v>
      </c>
      <c r="L26" s="28" t="s">
        <v>8</v>
      </c>
      <c r="M26" s="28" t="s">
        <v>8</v>
      </c>
      <c r="N26" s="28" t="s">
        <v>8</v>
      </c>
      <c r="O26" s="28" t="s">
        <v>8</v>
      </c>
      <c r="P26" s="28" t="s">
        <v>8</v>
      </c>
      <c r="Q26" s="28" t="s">
        <v>8</v>
      </c>
      <c r="R26" s="28" t="s">
        <v>8</v>
      </c>
      <c r="S26" s="28" t="s">
        <v>8</v>
      </c>
      <c r="T26" s="28" t="s">
        <v>8</v>
      </c>
      <c r="U26" s="28" t="s">
        <v>8</v>
      </c>
      <c r="V26" s="28" t="s">
        <v>8</v>
      </c>
      <c r="W26" s="28" t="s">
        <v>8</v>
      </c>
      <c r="X26" s="28" t="s">
        <v>8</v>
      </c>
      <c r="Y26" s="28" t="s">
        <v>8</v>
      </c>
      <c r="Z26" s="28">
        <v>0</v>
      </c>
      <c r="AA26" s="28">
        <v>0</v>
      </c>
      <c r="AB26" s="28">
        <v>0</v>
      </c>
      <c r="AC26" s="28">
        <v>0</v>
      </c>
      <c r="AD26" s="28">
        <v>0</v>
      </c>
      <c r="AE26" s="28">
        <v>0</v>
      </c>
      <c r="AF26" s="28">
        <v>0</v>
      </c>
      <c r="AG26" s="28">
        <v>0</v>
      </c>
      <c r="AH26" s="28">
        <v>0</v>
      </c>
      <c r="AI26" s="28">
        <v>0</v>
      </c>
      <c r="AJ26" s="28">
        <v>30</v>
      </c>
      <c r="AK26" s="28">
        <v>30</v>
      </c>
      <c r="AL26" s="28">
        <v>30</v>
      </c>
      <c r="AM26" s="28">
        <v>30</v>
      </c>
      <c r="AN26" s="28">
        <v>30</v>
      </c>
      <c r="AO26" s="28">
        <v>30</v>
      </c>
      <c r="AP26" s="28">
        <v>30</v>
      </c>
      <c r="AQ26" s="28">
        <v>30</v>
      </c>
      <c r="AR26" s="28">
        <v>30</v>
      </c>
      <c r="AS26" s="28">
        <v>30</v>
      </c>
      <c r="AT26" s="28">
        <v>30</v>
      </c>
      <c r="AU26" s="28">
        <v>30</v>
      </c>
      <c r="AV26" s="28">
        <v>30</v>
      </c>
      <c r="AW26" s="28">
        <v>30</v>
      </c>
    </row>
    <row r="27" spans="2:49">
      <c r="B27" s="1" t="s">
        <v>72</v>
      </c>
      <c r="C27" s="1" t="s">
        <v>73</v>
      </c>
      <c r="D27" s="1" t="s">
        <v>6</v>
      </c>
      <c r="E27" s="1" t="s">
        <v>74</v>
      </c>
      <c r="F27" s="28" t="s">
        <v>8</v>
      </c>
      <c r="G27" s="28" t="s">
        <v>8</v>
      </c>
      <c r="H27" s="28" t="s">
        <v>8</v>
      </c>
      <c r="I27" s="28" t="s">
        <v>8</v>
      </c>
      <c r="J27" s="28" t="s">
        <v>8</v>
      </c>
      <c r="K27" s="28" t="s">
        <v>8</v>
      </c>
      <c r="L27" s="28" t="s">
        <v>8</v>
      </c>
      <c r="M27" s="28" t="s">
        <v>8</v>
      </c>
      <c r="N27" s="28" t="s">
        <v>8</v>
      </c>
      <c r="O27" s="28" t="s">
        <v>8</v>
      </c>
      <c r="P27" s="28" t="s">
        <v>8</v>
      </c>
      <c r="Q27" s="28" t="s">
        <v>8</v>
      </c>
      <c r="R27" s="28" t="s">
        <v>8</v>
      </c>
      <c r="S27" s="28" t="s">
        <v>8</v>
      </c>
      <c r="T27" s="28" t="s">
        <v>8</v>
      </c>
      <c r="U27" s="28" t="s">
        <v>8</v>
      </c>
      <c r="V27" s="28" t="s">
        <v>8</v>
      </c>
      <c r="W27" s="28" t="s">
        <v>8</v>
      </c>
      <c r="X27" s="28" t="s">
        <v>8</v>
      </c>
      <c r="Y27" s="28" t="s">
        <v>8</v>
      </c>
      <c r="Z27" s="28" t="s">
        <v>8</v>
      </c>
      <c r="AA27" s="28" t="s">
        <v>8</v>
      </c>
      <c r="AB27" s="28" t="s">
        <v>8</v>
      </c>
      <c r="AC27" s="28" t="s">
        <v>8</v>
      </c>
      <c r="AD27" s="28" t="s">
        <v>8</v>
      </c>
      <c r="AE27" s="28" t="s">
        <v>8</v>
      </c>
      <c r="AF27" s="28" t="s">
        <v>8</v>
      </c>
      <c r="AG27" s="28" t="s">
        <v>8</v>
      </c>
      <c r="AH27" s="28" t="s">
        <v>8</v>
      </c>
      <c r="AI27" s="28" t="s">
        <v>8</v>
      </c>
      <c r="AJ27" s="28" t="s">
        <v>8</v>
      </c>
      <c r="AK27" s="28" t="s">
        <v>8</v>
      </c>
      <c r="AL27" s="28">
        <v>0</v>
      </c>
      <c r="AM27" s="28">
        <v>0</v>
      </c>
      <c r="AN27" s="28">
        <v>0</v>
      </c>
      <c r="AO27" s="28">
        <v>0</v>
      </c>
      <c r="AP27" s="28">
        <v>0</v>
      </c>
      <c r="AQ27" s="28">
        <v>25</v>
      </c>
      <c r="AR27" s="28">
        <v>25</v>
      </c>
      <c r="AS27" s="28">
        <v>25</v>
      </c>
      <c r="AT27" s="28">
        <v>25</v>
      </c>
      <c r="AU27" s="28">
        <v>25</v>
      </c>
      <c r="AV27" s="28">
        <v>25.8</v>
      </c>
      <c r="AW27" s="28">
        <v>25.8</v>
      </c>
    </row>
    <row r="28" spans="2:49">
      <c r="B28" s="1" t="s">
        <v>75</v>
      </c>
      <c r="C28" s="1" t="s">
        <v>76</v>
      </c>
      <c r="D28" s="1" t="s">
        <v>9</v>
      </c>
      <c r="E28" s="1" t="s">
        <v>77</v>
      </c>
      <c r="F28" s="28" t="s">
        <v>8</v>
      </c>
      <c r="G28" s="28" t="s">
        <v>8</v>
      </c>
      <c r="H28" s="28" t="s">
        <v>8</v>
      </c>
      <c r="I28" s="28" t="s">
        <v>8</v>
      </c>
      <c r="J28" s="28" t="s">
        <v>8</v>
      </c>
      <c r="K28" s="28" t="s">
        <v>8</v>
      </c>
      <c r="L28" s="28" t="s">
        <v>8</v>
      </c>
      <c r="M28" s="28" t="s">
        <v>8</v>
      </c>
      <c r="N28" s="28" t="s">
        <v>8</v>
      </c>
      <c r="O28" s="28" t="s">
        <v>8</v>
      </c>
      <c r="P28" s="28" t="s">
        <v>8</v>
      </c>
      <c r="Q28" s="28" t="s">
        <v>8</v>
      </c>
      <c r="R28" s="28" t="s">
        <v>8</v>
      </c>
      <c r="S28" s="28" t="s">
        <v>8</v>
      </c>
      <c r="T28" s="28" t="s">
        <v>8</v>
      </c>
      <c r="U28" s="28" t="s">
        <v>8</v>
      </c>
      <c r="V28" s="28" t="s">
        <v>8</v>
      </c>
      <c r="W28" s="28" t="s">
        <v>8</v>
      </c>
      <c r="X28" s="28" t="s">
        <v>8</v>
      </c>
      <c r="Y28" s="28" t="s">
        <v>8</v>
      </c>
      <c r="Z28" s="28">
        <v>35</v>
      </c>
      <c r="AA28" s="28">
        <v>35</v>
      </c>
      <c r="AB28" s="28">
        <v>35</v>
      </c>
      <c r="AC28" s="28">
        <v>35</v>
      </c>
      <c r="AD28" s="28">
        <v>35</v>
      </c>
      <c r="AE28" s="28">
        <v>35</v>
      </c>
      <c r="AF28" s="28">
        <v>35</v>
      </c>
      <c r="AG28" s="28">
        <v>35</v>
      </c>
      <c r="AH28" s="28">
        <v>30</v>
      </c>
      <c r="AI28" s="28">
        <v>30</v>
      </c>
      <c r="AJ28" s="28">
        <v>27.5</v>
      </c>
      <c r="AK28" s="28">
        <v>27.5</v>
      </c>
      <c r="AL28" s="28">
        <v>27.5</v>
      </c>
      <c r="AM28" s="28">
        <v>27.5</v>
      </c>
      <c r="AN28" s="28">
        <v>27.5</v>
      </c>
      <c r="AO28" s="28">
        <v>27.5</v>
      </c>
      <c r="AP28" s="28">
        <v>27.5</v>
      </c>
      <c r="AQ28" s="28">
        <v>27.5</v>
      </c>
      <c r="AR28" s="28">
        <v>28</v>
      </c>
      <c r="AS28" s="28">
        <v>28</v>
      </c>
      <c r="AT28" s="28">
        <v>28</v>
      </c>
      <c r="AU28" s="28">
        <v>28</v>
      </c>
      <c r="AV28" s="28">
        <v>27.5</v>
      </c>
      <c r="AW28" s="28">
        <v>27.5</v>
      </c>
    </row>
    <row r="29" spans="2:49">
      <c r="B29" s="1" t="s">
        <v>78</v>
      </c>
      <c r="C29" s="1" t="s">
        <v>79</v>
      </c>
      <c r="D29" s="1" t="s">
        <v>11</v>
      </c>
      <c r="E29" s="1" t="s">
        <v>80</v>
      </c>
      <c r="F29" s="28" t="s">
        <v>8</v>
      </c>
      <c r="G29" s="28" t="s">
        <v>8</v>
      </c>
      <c r="H29" s="28" t="s">
        <v>8</v>
      </c>
      <c r="I29" s="28" t="s">
        <v>8</v>
      </c>
      <c r="J29" s="28" t="s">
        <v>8</v>
      </c>
      <c r="K29" s="28" t="s">
        <v>8</v>
      </c>
      <c r="L29" s="28" t="s">
        <v>8</v>
      </c>
      <c r="M29" s="28" t="s">
        <v>8</v>
      </c>
      <c r="N29" s="28" t="s">
        <v>8</v>
      </c>
      <c r="O29" s="28" t="s">
        <v>8</v>
      </c>
      <c r="P29" s="28" t="s">
        <v>8</v>
      </c>
      <c r="Q29" s="28">
        <v>40</v>
      </c>
      <c r="R29" s="28">
        <v>40</v>
      </c>
      <c r="S29" s="28">
        <v>40</v>
      </c>
      <c r="T29" s="28">
        <v>40</v>
      </c>
      <c r="U29" s="28">
        <v>40</v>
      </c>
      <c r="V29" s="28">
        <v>40</v>
      </c>
      <c r="W29" s="28">
        <v>40</v>
      </c>
      <c r="X29" s="28">
        <v>40</v>
      </c>
      <c r="Y29" s="28">
        <v>35</v>
      </c>
      <c r="Z29" s="28">
        <v>35</v>
      </c>
      <c r="AA29" s="28">
        <v>35</v>
      </c>
      <c r="AB29" s="28">
        <v>35</v>
      </c>
      <c r="AC29" s="28">
        <v>30</v>
      </c>
      <c r="AD29" s="28">
        <v>30</v>
      </c>
      <c r="AE29" s="28">
        <v>30</v>
      </c>
      <c r="AF29" s="28">
        <v>30</v>
      </c>
      <c r="AG29" s="28">
        <v>30</v>
      </c>
      <c r="AH29" s="28">
        <v>30</v>
      </c>
      <c r="AI29" s="28">
        <v>27.5</v>
      </c>
      <c r="AJ29" s="28">
        <v>27.5</v>
      </c>
      <c r="AK29" s="28">
        <v>27.5</v>
      </c>
      <c r="AL29" s="28">
        <v>27.5</v>
      </c>
      <c r="AM29" s="28">
        <v>27.5</v>
      </c>
      <c r="AN29" s="28">
        <v>27.5</v>
      </c>
      <c r="AO29" s="28">
        <v>27.5</v>
      </c>
      <c r="AP29" s="28">
        <v>25</v>
      </c>
      <c r="AQ29" s="28">
        <v>25</v>
      </c>
      <c r="AR29" s="28">
        <v>25</v>
      </c>
      <c r="AS29" s="28">
        <v>25</v>
      </c>
      <c r="AT29" s="28">
        <v>25</v>
      </c>
      <c r="AU29" s="28">
        <v>32.5</v>
      </c>
      <c r="AV29" s="28">
        <v>30</v>
      </c>
      <c r="AW29" s="28">
        <v>27.5</v>
      </c>
    </row>
    <row r="30" spans="2:49">
      <c r="B30" s="1" t="s">
        <v>81</v>
      </c>
      <c r="C30" s="1" t="s">
        <v>82</v>
      </c>
      <c r="D30" s="1" t="s">
        <v>21</v>
      </c>
      <c r="E30" s="1" t="s">
        <v>83</v>
      </c>
      <c r="F30" s="28" t="s">
        <v>8</v>
      </c>
      <c r="G30" s="28" t="s">
        <v>8</v>
      </c>
      <c r="H30" s="28" t="s">
        <v>8</v>
      </c>
      <c r="I30" s="28" t="s">
        <v>8</v>
      </c>
      <c r="J30" s="28" t="s">
        <v>8</v>
      </c>
      <c r="K30" s="28" t="s">
        <v>8</v>
      </c>
      <c r="L30" s="28" t="s">
        <v>8</v>
      </c>
      <c r="M30" s="28" t="s">
        <v>8</v>
      </c>
      <c r="N30" s="28" t="s">
        <v>8</v>
      </c>
      <c r="O30" s="28" t="s">
        <v>8</v>
      </c>
      <c r="P30" s="28" t="s">
        <v>8</v>
      </c>
      <c r="Q30" s="28" t="s">
        <v>8</v>
      </c>
      <c r="R30" s="28" t="s">
        <v>8</v>
      </c>
      <c r="S30" s="28">
        <v>40</v>
      </c>
      <c r="T30" s="28">
        <v>40</v>
      </c>
      <c r="U30" s="28">
        <v>40</v>
      </c>
      <c r="V30" s="28">
        <v>40</v>
      </c>
      <c r="W30" s="28">
        <v>36</v>
      </c>
      <c r="X30" s="28">
        <v>30</v>
      </c>
      <c r="Y30" s="28">
        <v>30</v>
      </c>
      <c r="Z30" s="28">
        <v>30</v>
      </c>
      <c r="AA30" s="28">
        <v>25</v>
      </c>
      <c r="AB30" s="28">
        <v>20</v>
      </c>
      <c r="AC30" s="28">
        <v>23.5</v>
      </c>
      <c r="AD30" s="28">
        <v>19.5</v>
      </c>
      <c r="AE30" s="28">
        <v>15</v>
      </c>
      <c r="AF30" s="28">
        <v>15</v>
      </c>
      <c r="AG30" s="28">
        <v>10</v>
      </c>
      <c r="AH30" s="28">
        <v>10</v>
      </c>
      <c r="AI30" s="28">
        <v>10</v>
      </c>
      <c r="AJ30" s="28">
        <v>10</v>
      </c>
      <c r="AK30" s="28">
        <v>10</v>
      </c>
      <c r="AL30" s="28">
        <v>10</v>
      </c>
      <c r="AM30" s="28">
        <v>10</v>
      </c>
      <c r="AN30" s="28">
        <v>10</v>
      </c>
      <c r="AO30" s="28">
        <v>10</v>
      </c>
      <c r="AP30" s="28">
        <v>10</v>
      </c>
      <c r="AQ30" s="28">
        <v>10</v>
      </c>
      <c r="AR30" s="28">
        <v>10</v>
      </c>
      <c r="AS30" s="28">
        <v>10</v>
      </c>
      <c r="AT30" s="28">
        <v>10</v>
      </c>
      <c r="AU30" s="28">
        <v>10</v>
      </c>
      <c r="AV30" s="28">
        <v>10</v>
      </c>
      <c r="AW30" s="28">
        <v>10</v>
      </c>
    </row>
    <row r="31" spans="2:49">
      <c r="B31" s="1" t="s">
        <v>84</v>
      </c>
      <c r="C31" s="1" t="s">
        <v>85</v>
      </c>
      <c r="D31" s="1" t="s">
        <v>11</v>
      </c>
      <c r="E31" s="1" t="s">
        <v>86</v>
      </c>
      <c r="F31" s="28">
        <v>0</v>
      </c>
      <c r="G31" s="28">
        <v>0</v>
      </c>
      <c r="H31" s="28">
        <v>0</v>
      </c>
      <c r="I31" s="28">
        <v>0</v>
      </c>
      <c r="J31" s="28">
        <v>0</v>
      </c>
      <c r="K31" s="28">
        <v>0</v>
      </c>
      <c r="L31" s="28">
        <v>0</v>
      </c>
      <c r="M31" s="28">
        <v>0</v>
      </c>
      <c r="N31" s="28">
        <v>0</v>
      </c>
      <c r="O31" s="28">
        <v>0</v>
      </c>
      <c r="P31" s="28">
        <v>0</v>
      </c>
      <c r="Q31" s="28">
        <v>0</v>
      </c>
      <c r="R31" s="28">
        <v>0</v>
      </c>
      <c r="S31" s="28">
        <v>0</v>
      </c>
      <c r="T31" s="28">
        <v>0</v>
      </c>
      <c r="U31" s="28">
        <v>0</v>
      </c>
      <c r="V31" s="28">
        <v>0</v>
      </c>
      <c r="W31" s="28">
        <v>0</v>
      </c>
      <c r="X31" s="28">
        <v>0</v>
      </c>
      <c r="Y31" s="28">
        <v>0</v>
      </c>
      <c r="Z31" s="28">
        <v>0</v>
      </c>
      <c r="AA31" s="28">
        <v>0</v>
      </c>
      <c r="AB31" s="28">
        <v>0</v>
      </c>
      <c r="AC31" s="28">
        <v>0</v>
      </c>
      <c r="AD31" s="28">
        <v>0</v>
      </c>
      <c r="AE31" s="28">
        <v>0</v>
      </c>
      <c r="AF31" s="28">
        <v>0</v>
      </c>
      <c r="AG31" s="28">
        <v>0</v>
      </c>
      <c r="AH31" s="28">
        <v>0</v>
      </c>
      <c r="AI31" s="28">
        <v>0</v>
      </c>
      <c r="AJ31" s="28">
        <v>0</v>
      </c>
      <c r="AK31" s="28">
        <v>0</v>
      </c>
      <c r="AL31" s="28">
        <v>0</v>
      </c>
      <c r="AM31" s="28">
        <v>0</v>
      </c>
      <c r="AN31" s="28">
        <v>0</v>
      </c>
      <c r="AO31" s="28">
        <v>0</v>
      </c>
      <c r="AP31" s="28">
        <v>0</v>
      </c>
      <c r="AQ31" s="28">
        <v>0</v>
      </c>
      <c r="AR31" s="28">
        <v>0</v>
      </c>
      <c r="AS31" s="28">
        <v>0</v>
      </c>
      <c r="AT31" s="28">
        <v>0</v>
      </c>
      <c r="AU31" s="28">
        <v>0</v>
      </c>
      <c r="AV31" s="28">
        <v>0</v>
      </c>
      <c r="AW31" s="28">
        <v>0</v>
      </c>
    </row>
    <row r="32" spans="2:49">
      <c r="B32" s="1" t="s">
        <v>87</v>
      </c>
      <c r="C32" s="1" t="s">
        <v>88</v>
      </c>
      <c r="D32" s="1" t="s">
        <v>6</v>
      </c>
      <c r="E32" s="1" t="s">
        <v>89</v>
      </c>
      <c r="F32" s="28">
        <v>0</v>
      </c>
      <c r="G32" s="28">
        <v>0</v>
      </c>
      <c r="H32" s="28">
        <v>0</v>
      </c>
      <c r="I32" s="28">
        <v>0</v>
      </c>
      <c r="J32" s="28">
        <v>0</v>
      </c>
      <c r="K32" s="28">
        <v>0</v>
      </c>
      <c r="L32" s="28">
        <v>0</v>
      </c>
      <c r="M32" s="28">
        <v>0</v>
      </c>
      <c r="N32" s="28">
        <v>0</v>
      </c>
      <c r="O32" s="28">
        <v>0</v>
      </c>
      <c r="P32" s="28">
        <v>0</v>
      </c>
      <c r="Q32" s="28">
        <v>0</v>
      </c>
      <c r="R32" s="28">
        <v>0</v>
      </c>
      <c r="S32" s="28">
        <v>0</v>
      </c>
      <c r="T32" s="28">
        <v>0</v>
      </c>
      <c r="U32" s="28">
        <v>0</v>
      </c>
      <c r="V32" s="28">
        <v>0</v>
      </c>
      <c r="W32" s="28">
        <v>0</v>
      </c>
      <c r="X32" s="28">
        <v>0</v>
      </c>
      <c r="Y32" s="28">
        <v>0</v>
      </c>
      <c r="Z32" s="28">
        <v>0</v>
      </c>
      <c r="AA32" s="28">
        <v>0</v>
      </c>
      <c r="AB32" s="28">
        <v>0</v>
      </c>
      <c r="AC32" s="28">
        <v>0</v>
      </c>
      <c r="AD32" s="28">
        <v>0</v>
      </c>
      <c r="AE32" s="28">
        <v>0</v>
      </c>
      <c r="AF32" s="28">
        <v>0</v>
      </c>
      <c r="AG32" s="28">
        <v>0</v>
      </c>
      <c r="AH32" s="28">
        <v>0</v>
      </c>
      <c r="AI32" s="28">
        <v>0</v>
      </c>
      <c r="AJ32" s="28">
        <v>0</v>
      </c>
      <c r="AK32" s="28">
        <v>0</v>
      </c>
      <c r="AL32" s="28">
        <v>0</v>
      </c>
      <c r="AM32" s="28">
        <v>0</v>
      </c>
      <c r="AN32" s="28">
        <v>0</v>
      </c>
      <c r="AO32" s="28">
        <v>0</v>
      </c>
      <c r="AP32" s="28">
        <v>0</v>
      </c>
      <c r="AQ32" s="28">
        <v>0</v>
      </c>
      <c r="AR32" s="28">
        <v>0</v>
      </c>
      <c r="AS32" s="28">
        <v>0</v>
      </c>
      <c r="AT32" s="28">
        <v>0</v>
      </c>
      <c r="AU32" s="28">
        <v>0</v>
      </c>
      <c r="AV32" s="28">
        <v>0</v>
      </c>
      <c r="AW32" s="28">
        <v>0</v>
      </c>
    </row>
    <row r="33" spans="2:49">
      <c r="B33" s="1" t="s">
        <v>90</v>
      </c>
      <c r="C33" s="1" t="s">
        <v>91</v>
      </c>
      <c r="D33" s="1" t="s">
        <v>21</v>
      </c>
      <c r="E33" s="1" t="s">
        <v>92</v>
      </c>
      <c r="F33" s="28" t="s">
        <v>8</v>
      </c>
      <c r="G33" s="28" t="s">
        <v>8</v>
      </c>
      <c r="H33" s="28" t="s">
        <v>8</v>
      </c>
      <c r="I33" s="28" t="s">
        <v>8</v>
      </c>
      <c r="J33" s="28" t="s">
        <v>8</v>
      </c>
      <c r="K33" s="28" t="s">
        <v>8</v>
      </c>
      <c r="L33" s="28" t="s">
        <v>8</v>
      </c>
      <c r="M33" s="28" t="s">
        <v>8</v>
      </c>
      <c r="N33" s="28" t="s">
        <v>8</v>
      </c>
      <c r="O33" s="28" t="s">
        <v>8</v>
      </c>
      <c r="P33" s="28" t="s">
        <v>8</v>
      </c>
      <c r="Q33" s="28" t="s">
        <v>8</v>
      </c>
      <c r="R33" s="28" t="s">
        <v>8</v>
      </c>
      <c r="S33" s="28" t="s">
        <v>8</v>
      </c>
      <c r="T33" s="28" t="s">
        <v>8</v>
      </c>
      <c r="U33" s="28" t="s">
        <v>8</v>
      </c>
      <c r="V33" s="28" t="s">
        <v>8</v>
      </c>
      <c r="W33" s="28" t="s">
        <v>8</v>
      </c>
      <c r="X33" s="28" t="s">
        <v>8</v>
      </c>
      <c r="Y33" s="28" t="s">
        <v>8</v>
      </c>
      <c r="Z33" s="28">
        <v>30</v>
      </c>
      <c r="AA33" s="28">
        <v>30</v>
      </c>
      <c r="AB33" s="28">
        <v>30</v>
      </c>
      <c r="AC33" s="28">
        <v>10</v>
      </c>
      <c r="AD33" s="28">
        <v>10</v>
      </c>
      <c r="AE33" s="28">
        <v>10</v>
      </c>
      <c r="AF33" s="28">
        <v>10</v>
      </c>
      <c r="AG33" s="28">
        <v>10</v>
      </c>
      <c r="AH33" s="28">
        <v>10</v>
      </c>
      <c r="AI33" s="28">
        <v>10</v>
      </c>
      <c r="AJ33" s="28">
        <v>10</v>
      </c>
      <c r="AK33" s="28">
        <v>10</v>
      </c>
      <c r="AL33" s="28">
        <v>10</v>
      </c>
      <c r="AM33" s="28">
        <v>10</v>
      </c>
      <c r="AN33" s="28">
        <v>10</v>
      </c>
      <c r="AO33" s="28">
        <v>10</v>
      </c>
      <c r="AP33" s="28">
        <v>10</v>
      </c>
      <c r="AQ33" s="28">
        <v>10</v>
      </c>
      <c r="AR33" s="28">
        <v>10</v>
      </c>
      <c r="AS33" s="28">
        <v>10</v>
      </c>
      <c r="AT33" s="28">
        <v>10</v>
      </c>
      <c r="AU33" s="28">
        <v>10</v>
      </c>
      <c r="AV33" s="28">
        <v>10</v>
      </c>
      <c r="AW33" s="28">
        <v>10</v>
      </c>
    </row>
    <row r="34" spans="2:49">
      <c r="B34" s="1" t="s">
        <v>93</v>
      </c>
      <c r="C34" s="1" t="s">
        <v>94</v>
      </c>
      <c r="D34" s="1" t="s">
        <v>6</v>
      </c>
      <c r="E34" s="1" t="s">
        <v>95</v>
      </c>
      <c r="F34" s="28" t="s">
        <v>8</v>
      </c>
      <c r="G34" s="28" t="s">
        <v>8</v>
      </c>
      <c r="H34" s="28" t="s">
        <v>8</v>
      </c>
      <c r="I34" s="28" t="s">
        <v>8</v>
      </c>
      <c r="J34" s="28" t="s">
        <v>8</v>
      </c>
      <c r="K34" s="28" t="s">
        <v>8</v>
      </c>
      <c r="L34" s="28" t="s">
        <v>8</v>
      </c>
      <c r="M34" s="28" t="s">
        <v>8</v>
      </c>
      <c r="N34" s="28" t="s">
        <v>8</v>
      </c>
      <c r="O34" s="28" t="s">
        <v>8</v>
      </c>
      <c r="P34" s="28" t="s">
        <v>8</v>
      </c>
      <c r="Q34" s="28" t="s">
        <v>8</v>
      </c>
      <c r="R34" s="28" t="s">
        <v>8</v>
      </c>
      <c r="S34" s="28" t="s">
        <v>8</v>
      </c>
      <c r="T34" s="28" t="s">
        <v>8</v>
      </c>
      <c r="U34" s="28" t="s">
        <v>8</v>
      </c>
      <c r="V34" s="28" t="s">
        <v>8</v>
      </c>
      <c r="W34" s="28" t="s">
        <v>8</v>
      </c>
      <c r="X34" s="28" t="s">
        <v>8</v>
      </c>
      <c r="Y34" s="28" t="s">
        <v>8</v>
      </c>
      <c r="Z34" s="28" t="s">
        <v>8</v>
      </c>
      <c r="AA34" s="28" t="s">
        <v>8</v>
      </c>
      <c r="AB34" s="28" t="s">
        <v>8</v>
      </c>
      <c r="AC34" s="28" t="s">
        <v>8</v>
      </c>
      <c r="AD34" s="28" t="s">
        <v>8</v>
      </c>
      <c r="AE34" s="28" t="s">
        <v>8</v>
      </c>
      <c r="AF34" s="28" t="s">
        <v>8</v>
      </c>
      <c r="AG34" s="28" t="s">
        <v>8</v>
      </c>
      <c r="AH34" s="28" t="s">
        <v>8</v>
      </c>
      <c r="AI34" s="28" t="s">
        <v>8</v>
      </c>
      <c r="AJ34" s="28" t="s">
        <v>8</v>
      </c>
      <c r="AK34" s="28" t="s">
        <v>8</v>
      </c>
      <c r="AL34" s="28" t="s">
        <v>8</v>
      </c>
      <c r="AM34" s="28" t="s">
        <v>8</v>
      </c>
      <c r="AN34" s="28" t="s">
        <v>8</v>
      </c>
      <c r="AO34" s="28" t="s">
        <v>8</v>
      </c>
      <c r="AP34" s="28" t="s">
        <v>8</v>
      </c>
      <c r="AQ34" s="28" t="s">
        <v>8</v>
      </c>
      <c r="AR34" s="28" t="s">
        <v>8</v>
      </c>
      <c r="AS34" s="28">
        <v>0</v>
      </c>
      <c r="AT34" s="28">
        <v>0</v>
      </c>
      <c r="AU34" s="28">
        <v>0</v>
      </c>
      <c r="AV34" s="28">
        <v>0</v>
      </c>
      <c r="AW34" s="28">
        <v>0</v>
      </c>
    </row>
    <row r="35" spans="2:49">
      <c r="B35" s="1" t="s">
        <v>96</v>
      </c>
      <c r="C35" s="1" t="s">
        <v>97</v>
      </c>
      <c r="D35" s="1" t="s">
        <v>21</v>
      </c>
      <c r="E35" s="1" t="s">
        <v>98</v>
      </c>
      <c r="F35" s="28" t="s">
        <v>8</v>
      </c>
      <c r="G35" s="28" t="s">
        <v>8</v>
      </c>
      <c r="H35" s="28" t="s">
        <v>8</v>
      </c>
      <c r="I35" s="28" t="s">
        <v>8</v>
      </c>
      <c r="J35" s="28" t="s">
        <v>8</v>
      </c>
      <c r="K35" s="28" t="s">
        <v>8</v>
      </c>
      <c r="L35" s="28" t="s">
        <v>8</v>
      </c>
      <c r="M35" s="28" t="s">
        <v>8</v>
      </c>
      <c r="N35" s="28" t="s">
        <v>8</v>
      </c>
      <c r="O35" s="28" t="s">
        <v>8</v>
      </c>
      <c r="P35" s="28" t="s">
        <v>8</v>
      </c>
      <c r="Q35" s="28">
        <v>30</v>
      </c>
      <c r="R35" s="28">
        <v>30</v>
      </c>
      <c r="S35" s="28">
        <v>30</v>
      </c>
      <c r="T35" s="28">
        <v>30</v>
      </c>
      <c r="U35" s="28">
        <v>30</v>
      </c>
      <c r="V35" s="28">
        <v>30</v>
      </c>
      <c r="W35" s="28">
        <v>30</v>
      </c>
      <c r="X35" s="28">
        <v>30</v>
      </c>
      <c r="Y35" s="28">
        <v>30</v>
      </c>
      <c r="Z35" s="28">
        <v>30</v>
      </c>
      <c r="AA35" s="28">
        <v>30</v>
      </c>
      <c r="AB35" s="28">
        <v>25</v>
      </c>
      <c r="AC35" s="28">
        <v>24</v>
      </c>
      <c r="AD35" s="28">
        <v>24</v>
      </c>
      <c r="AE35" s="28">
        <v>24</v>
      </c>
      <c r="AF35" s="28">
        <v>24</v>
      </c>
      <c r="AG35" s="28">
        <v>24</v>
      </c>
      <c r="AH35" s="28">
        <v>24</v>
      </c>
      <c r="AI35" s="28">
        <v>24</v>
      </c>
      <c r="AJ35" s="28">
        <v>24</v>
      </c>
      <c r="AK35" s="28">
        <v>24</v>
      </c>
      <c r="AL35" s="28">
        <v>18</v>
      </c>
      <c r="AM35" s="28">
        <v>18</v>
      </c>
      <c r="AN35" s="28">
        <v>18</v>
      </c>
      <c r="AO35" s="28">
        <v>18</v>
      </c>
      <c r="AP35" s="28">
        <v>18</v>
      </c>
      <c r="AQ35" s="28">
        <v>18</v>
      </c>
      <c r="AR35" s="28">
        <v>18</v>
      </c>
      <c r="AS35" s="28">
        <v>18</v>
      </c>
      <c r="AT35" s="28">
        <v>18</v>
      </c>
      <c r="AU35" s="28">
        <v>18</v>
      </c>
      <c r="AV35" s="28">
        <v>18</v>
      </c>
      <c r="AW35" s="28">
        <v>20</v>
      </c>
    </row>
    <row r="36" spans="2:49">
      <c r="B36" s="1" t="s">
        <v>99</v>
      </c>
      <c r="C36" s="1" t="s">
        <v>100</v>
      </c>
      <c r="D36" s="1" t="s">
        <v>6</v>
      </c>
      <c r="E36" s="1" t="s">
        <v>101</v>
      </c>
      <c r="F36" s="28" t="s">
        <v>8</v>
      </c>
      <c r="G36" s="28" t="s">
        <v>8</v>
      </c>
      <c r="H36" s="28" t="s">
        <v>8</v>
      </c>
      <c r="I36" s="28" t="s">
        <v>8</v>
      </c>
      <c r="J36" s="28" t="s">
        <v>8</v>
      </c>
      <c r="K36" s="28" t="s">
        <v>8</v>
      </c>
      <c r="L36" s="28" t="s">
        <v>8</v>
      </c>
      <c r="M36" s="28">
        <v>45</v>
      </c>
      <c r="N36" s="28">
        <v>45</v>
      </c>
      <c r="O36" s="28">
        <v>45</v>
      </c>
      <c r="P36" s="28">
        <v>45</v>
      </c>
      <c r="Q36" s="28">
        <v>45</v>
      </c>
      <c r="R36" s="28">
        <v>45</v>
      </c>
      <c r="S36" s="28">
        <v>35</v>
      </c>
      <c r="T36" s="28">
        <v>35</v>
      </c>
      <c r="U36" s="28">
        <v>35</v>
      </c>
      <c r="V36" s="28">
        <v>35</v>
      </c>
      <c r="W36" s="28">
        <v>35</v>
      </c>
      <c r="X36" s="28">
        <v>35</v>
      </c>
      <c r="Y36" s="28" t="s">
        <v>8</v>
      </c>
      <c r="Z36" s="28">
        <v>25</v>
      </c>
      <c r="AA36" s="28">
        <v>25</v>
      </c>
      <c r="AB36" s="28">
        <v>25</v>
      </c>
      <c r="AC36" s="28">
        <v>25</v>
      </c>
      <c r="AD36" s="28">
        <v>25</v>
      </c>
      <c r="AE36" s="28">
        <v>25</v>
      </c>
      <c r="AF36" s="28">
        <v>25</v>
      </c>
      <c r="AG36" s="28">
        <v>25</v>
      </c>
      <c r="AH36" s="28">
        <v>25</v>
      </c>
      <c r="AI36" s="28">
        <v>25</v>
      </c>
      <c r="AJ36" s="28">
        <v>25</v>
      </c>
      <c r="AK36" s="28">
        <v>25</v>
      </c>
      <c r="AL36" s="28">
        <v>25</v>
      </c>
      <c r="AM36" s="28">
        <v>25</v>
      </c>
      <c r="AN36" s="28">
        <v>25</v>
      </c>
      <c r="AO36" s="28">
        <v>25</v>
      </c>
      <c r="AP36" s="28">
        <v>25</v>
      </c>
      <c r="AQ36" s="28">
        <v>25</v>
      </c>
      <c r="AR36" s="28">
        <v>25</v>
      </c>
      <c r="AS36" s="28">
        <v>25</v>
      </c>
      <c r="AT36" s="28">
        <v>0</v>
      </c>
      <c r="AU36" s="28">
        <v>0</v>
      </c>
      <c r="AV36" s="28">
        <v>0</v>
      </c>
      <c r="AW36" s="28">
        <v>0</v>
      </c>
    </row>
    <row r="37" spans="2:49">
      <c r="B37" s="1" t="s">
        <v>102</v>
      </c>
      <c r="C37" s="1" t="s">
        <v>103</v>
      </c>
      <c r="D37" s="1" t="s">
        <v>6</v>
      </c>
      <c r="E37" s="1" t="s">
        <v>104</v>
      </c>
      <c r="F37" s="28">
        <v>0</v>
      </c>
      <c r="G37" s="28">
        <v>0</v>
      </c>
      <c r="H37" s="28">
        <v>0</v>
      </c>
      <c r="I37" s="28">
        <v>0</v>
      </c>
      <c r="J37" s="28">
        <v>0</v>
      </c>
      <c r="K37" s="28">
        <v>0</v>
      </c>
      <c r="L37" s="28">
        <v>0</v>
      </c>
      <c r="M37" s="28">
        <v>0</v>
      </c>
      <c r="N37" s="28">
        <v>0</v>
      </c>
      <c r="O37" s="28">
        <v>0</v>
      </c>
      <c r="P37" s="28">
        <v>0</v>
      </c>
      <c r="Q37" s="28">
        <v>0</v>
      </c>
      <c r="R37" s="28">
        <v>0</v>
      </c>
      <c r="S37" s="28">
        <v>0</v>
      </c>
      <c r="T37" s="28">
        <v>0</v>
      </c>
      <c r="U37" s="28">
        <v>0</v>
      </c>
      <c r="V37" s="28">
        <v>0</v>
      </c>
      <c r="W37" s="28">
        <v>0</v>
      </c>
      <c r="X37" s="28">
        <v>0</v>
      </c>
      <c r="Y37" s="28">
        <v>0</v>
      </c>
      <c r="Z37" s="28">
        <v>0</v>
      </c>
      <c r="AA37" s="28">
        <v>0</v>
      </c>
      <c r="AB37" s="28">
        <v>0</v>
      </c>
      <c r="AC37" s="28">
        <v>0</v>
      </c>
      <c r="AD37" s="28">
        <v>0</v>
      </c>
      <c r="AE37" s="28">
        <v>0</v>
      </c>
      <c r="AF37" s="28">
        <v>0</v>
      </c>
      <c r="AG37" s="28">
        <v>0</v>
      </c>
      <c r="AH37" s="28">
        <v>0</v>
      </c>
      <c r="AI37" s="28">
        <v>0</v>
      </c>
      <c r="AJ37" s="28">
        <v>0</v>
      </c>
      <c r="AK37" s="28">
        <v>0</v>
      </c>
      <c r="AL37" s="28">
        <v>0</v>
      </c>
      <c r="AM37" s="28">
        <v>0</v>
      </c>
      <c r="AN37" s="28">
        <v>0</v>
      </c>
      <c r="AO37" s="28">
        <v>0</v>
      </c>
      <c r="AP37" s="28">
        <v>0</v>
      </c>
      <c r="AQ37" s="28">
        <v>0</v>
      </c>
      <c r="AR37" s="28">
        <v>0</v>
      </c>
      <c r="AS37" s="28">
        <v>0</v>
      </c>
      <c r="AT37" s="28">
        <v>0</v>
      </c>
      <c r="AU37" s="28">
        <v>0</v>
      </c>
      <c r="AV37" s="28">
        <v>0</v>
      </c>
      <c r="AW37" s="28">
        <v>0</v>
      </c>
    </row>
    <row r="38" spans="2:49">
      <c r="B38" s="1" t="s">
        <v>105</v>
      </c>
      <c r="C38" s="1" t="s">
        <v>106</v>
      </c>
      <c r="D38" s="1" t="s">
        <v>37</v>
      </c>
      <c r="E38" s="1" t="s">
        <v>766</v>
      </c>
      <c r="F38" s="28">
        <v>30</v>
      </c>
      <c r="G38" s="28">
        <v>30</v>
      </c>
      <c r="H38" s="28">
        <v>30</v>
      </c>
      <c r="I38" s="28">
        <v>30</v>
      </c>
      <c r="J38" s="28">
        <v>30</v>
      </c>
      <c r="K38" s="28">
        <v>30</v>
      </c>
      <c r="L38" s="28">
        <v>30</v>
      </c>
      <c r="M38" s="28">
        <v>2</v>
      </c>
      <c r="N38" s="28">
        <v>2</v>
      </c>
      <c r="O38" s="28">
        <v>2</v>
      </c>
      <c r="P38" s="28">
        <v>2.5</v>
      </c>
      <c r="Q38" s="28">
        <v>3</v>
      </c>
      <c r="R38" s="28">
        <v>3</v>
      </c>
      <c r="S38" s="28">
        <v>3</v>
      </c>
      <c r="T38" s="28">
        <v>25</v>
      </c>
      <c r="U38" s="28">
        <v>25</v>
      </c>
      <c r="V38" s="28">
        <v>25</v>
      </c>
      <c r="W38" s="28">
        <v>25</v>
      </c>
      <c r="X38" s="28">
        <v>25</v>
      </c>
      <c r="Y38" s="28">
        <v>25</v>
      </c>
      <c r="Z38" s="28">
        <v>25</v>
      </c>
      <c r="AA38" s="28">
        <v>25</v>
      </c>
      <c r="AB38" s="28">
        <v>25</v>
      </c>
      <c r="AC38" s="28">
        <v>25</v>
      </c>
      <c r="AD38" s="28">
        <v>25</v>
      </c>
      <c r="AE38" s="28">
        <v>25</v>
      </c>
      <c r="AF38" s="28">
        <v>25</v>
      </c>
      <c r="AG38" s="28">
        <v>25</v>
      </c>
      <c r="AH38" s="28">
        <v>25</v>
      </c>
      <c r="AI38" s="28">
        <v>25</v>
      </c>
      <c r="AJ38" s="28">
        <v>25</v>
      </c>
      <c r="AK38" s="28">
        <v>25</v>
      </c>
      <c r="AL38" s="28">
        <v>25</v>
      </c>
      <c r="AM38" s="28">
        <v>25</v>
      </c>
      <c r="AN38" s="28">
        <v>25</v>
      </c>
      <c r="AO38" s="28">
        <v>25</v>
      </c>
      <c r="AP38" s="28">
        <v>25</v>
      </c>
      <c r="AQ38" s="28">
        <v>25</v>
      </c>
      <c r="AR38" s="28">
        <v>25</v>
      </c>
      <c r="AS38" s="28">
        <v>25</v>
      </c>
      <c r="AT38" s="28">
        <v>25</v>
      </c>
      <c r="AU38" s="28">
        <v>25</v>
      </c>
      <c r="AV38" s="28">
        <v>25</v>
      </c>
      <c r="AW38" s="28">
        <v>25</v>
      </c>
    </row>
    <row r="39" spans="2:49">
      <c r="B39" s="1" t="s">
        <v>107</v>
      </c>
      <c r="C39" s="1" t="s">
        <v>108</v>
      </c>
      <c r="D39" s="1" t="s">
        <v>37</v>
      </c>
      <c r="E39" s="1" t="s">
        <v>109</v>
      </c>
      <c r="F39" s="28">
        <v>35</v>
      </c>
      <c r="G39" s="28">
        <v>35</v>
      </c>
      <c r="H39" s="28">
        <v>35</v>
      </c>
      <c r="I39" s="28">
        <v>35</v>
      </c>
      <c r="J39" s="28">
        <v>35</v>
      </c>
      <c r="K39" s="28">
        <v>35</v>
      </c>
      <c r="L39" s="28">
        <v>35</v>
      </c>
      <c r="M39" s="28">
        <v>35</v>
      </c>
      <c r="N39" s="28">
        <v>35</v>
      </c>
      <c r="O39" s="28">
        <v>30</v>
      </c>
      <c r="P39" s="28">
        <v>30</v>
      </c>
      <c r="Q39" s="28">
        <v>30</v>
      </c>
      <c r="R39" s="28">
        <v>30</v>
      </c>
      <c r="S39" s="28">
        <v>25</v>
      </c>
      <c r="T39" s="28">
        <v>25</v>
      </c>
      <c r="U39" s="28">
        <v>25</v>
      </c>
      <c r="V39" s="28">
        <v>25</v>
      </c>
      <c r="W39" s="28">
        <v>25</v>
      </c>
      <c r="X39" s="28">
        <v>25</v>
      </c>
      <c r="Y39" s="28">
        <v>33</v>
      </c>
      <c r="Z39" s="28">
        <v>37</v>
      </c>
      <c r="AA39" s="28">
        <v>34</v>
      </c>
      <c r="AB39" s="28">
        <v>34</v>
      </c>
      <c r="AC39" s="28">
        <v>34</v>
      </c>
      <c r="AD39" s="28">
        <v>34</v>
      </c>
      <c r="AE39" s="28">
        <v>34</v>
      </c>
      <c r="AF39" s="28">
        <v>34</v>
      </c>
      <c r="AG39" s="28">
        <v>34</v>
      </c>
      <c r="AH39" s="28">
        <v>34</v>
      </c>
      <c r="AI39" s="28">
        <v>34</v>
      </c>
      <c r="AJ39" s="28">
        <v>34</v>
      </c>
      <c r="AK39" s="28">
        <v>34</v>
      </c>
      <c r="AL39" s="28">
        <v>34</v>
      </c>
      <c r="AM39" s="28">
        <v>34</v>
      </c>
      <c r="AN39" s="28">
        <v>34</v>
      </c>
      <c r="AO39" s="28">
        <v>34</v>
      </c>
      <c r="AP39" s="28">
        <v>34</v>
      </c>
      <c r="AQ39" s="28">
        <v>34</v>
      </c>
      <c r="AR39" s="28">
        <v>34</v>
      </c>
      <c r="AS39" s="28">
        <v>34</v>
      </c>
      <c r="AT39" s="28">
        <v>34</v>
      </c>
      <c r="AU39" s="28">
        <v>34</v>
      </c>
      <c r="AV39" s="28">
        <v>34</v>
      </c>
      <c r="AW39" s="28">
        <v>34</v>
      </c>
    </row>
    <row r="40" spans="2:49">
      <c r="B40" s="1" t="s">
        <v>110</v>
      </c>
      <c r="C40" s="1" t="s">
        <v>111</v>
      </c>
      <c r="D40" s="1" t="s">
        <v>6</v>
      </c>
      <c r="E40" s="1" t="s">
        <v>112</v>
      </c>
      <c r="F40" s="28">
        <v>45</v>
      </c>
      <c r="G40" s="28">
        <v>45</v>
      </c>
      <c r="H40" s="28">
        <v>45</v>
      </c>
      <c r="I40" s="28">
        <v>45</v>
      </c>
      <c r="J40" s="28">
        <v>45</v>
      </c>
      <c r="K40" s="28">
        <v>45</v>
      </c>
      <c r="L40" s="28">
        <v>45</v>
      </c>
      <c r="M40" s="28">
        <v>35</v>
      </c>
      <c r="N40" s="28">
        <v>35</v>
      </c>
      <c r="O40" s="28">
        <v>35</v>
      </c>
      <c r="P40" s="28">
        <v>35</v>
      </c>
      <c r="Q40" s="28">
        <v>35</v>
      </c>
      <c r="R40" s="28">
        <v>35</v>
      </c>
      <c r="S40" s="28">
        <v>40</v>
      </c>
      <c r="T40" s="28">
        <v>40</v>
      </c>
      <c r="U40" s="28">
        <v>40</v>
      </c>
      <c r="V40" s="28">
        <v>40</v>
      </c>
      <c r="W40" s="28">
        <v>40</v>
      </c>
      <c r="X40" s="28">
        <v>40</v>
      </c>
      <c r="Y40" s="28">
        <v>40</v>
      </c>
      <c r="Z40" s="28">
        <v>40</v>
      </c>
      <c r="AA40" s="28">
        <v>40</v>
      </c>
      <c r="AB40" s="28">
        <v>37.5</v>
      </c>
      <c r="AC40" s="28">
        <v>36</v>
      </c>
      <c r="AD40" s="28">
        <v>33</v>
      </c>
      <c r="AE40" s="28">
        <v>30</v>
      </c>
      <c r="AF40" s="28">
        <v>25</v>
      </c>
      <c r="AG40" s="28">
        <v>25</v>
      </c>
      <c r="AH40" s="28">
        <v>25</v>
      </c>
      <c r="AI40" s="28">
        <v>25</v>
      </c>
      <c r="AJ40" s="28">
        <v>25</v>
      </c>
      <c r="AK40" s="28">
        <v>25</v>
      </c>
      <c r="AL40" s="28">
        <v>25</v>
      </c>
      <c r="AM40" s="28">
        <v>25</v>
      </c>
      <c r="AN40" s="28">
        <v>25</v>
      </c>
      <c r="AO40" s="28">
        <v>25</v>
      </c>
      <c r="AP40" s="28">
        <v>25</v>
      </c>
      <c r="AQ40" s="28">
        <v>25</v>
      </c>
      <c r="AR40" s="28">
        <v>30</v>
      </c>
      <c r="AS40" s="28">
        <v>5.5</v>
      </c>
      <c r="AT40" s="28">
        <v>5.5</v>
      </c>
      <c r="AU40" s="28">
        <v>5.5</v>
      </c>
      <c r="AV40" s="28">
        <v>5.5</v>
      </c>
      <c r="AW40" s="28">
        <v>5.5</v>
      </c>
    </row>
    <row r="41" spans="2:49">
      <c r="B41" s="1" t="s">
        <v>113</v>
      </c>
      <c r="C41" s="1" t="s">
        <v>114</v>
      </c>
      <c r="D41" s="1" t="s">
        <v>11</v>
      </c>
      <c r="E41" s="1" t="s">
        <v>115</v>
      </c>
      <c r="F41" s="28" t="s">
        <v>8</v>
      </c>
      <c r="G41" s="28" t="s">
        <v>8</v>
      </c>
      <c r="H41" s="28" t="s">
        <v>8</v>
      </c>
      <c r="I41" s="28" t="s">
        <v>8</v>
      </c>
      <c r="J41" s="28" t="s">
        <v>8</v>
      </c>
      <c r="K41" s="28" t="s">
        <v>8</v>
      </c>
      <c r="L41" s="28" t="s">
        <v>8</v>
      </c>
      <c r="M41" s="28" t="s">
        <v>8</v>
      </c>
      <c r="N41" s="28" t="s">
        <v>8</v>
      </c>
      <c r="O41" s="28" t="s">
        <v>8</v>
      </c>
      <c r="P41" s="28" t="s">
        <v>8</v>
      </c>
      <c r="Q41" s="28" t="s">
        <v>8</v>
      </c>
      <c r="R41" s="28" t="s">
        <v>8</v>
      </c>
      <c r="S41" s="28" t="s">
        <v>8</v>
      </c>
      <c r="T41" s="28" t="s">
        <v>8</v>
      </c>
      <c r="U41" s="28" t="s">
        <v>8</v>
      </c>
      <c r="V41" s="28" t="s">
        <v>8</v>
      </c>
      <c r="W41" s="28" t="s">
        <v>8</v>
      </c>
      <c r="X41" s="28" t="s">
        <v>8</v>
      </c>
      <c r="Y41" s="28" t="s">
        <v>8</v>
      </c>
      <c r="Z41" s="28">
        <v>30</v>
      </c>
      <c r="AA41" s="28">
        <v>30</v>
      </c>
      <c r="AB41" s="28">
        <v>30</v>
      </c>
      <c r="AC41" s="28">
        <v>30</v>
      </c>
      <c r="AD41" s="28">
        <v>30</v>
      </c>
      <c r="AE41" s="28">
        <v>30</v>
      </c>
      <c r="AF41" s="28">
        <v>30</v>
      </c>
      <c r="AG41" s="28">
        <v>30</v>
      </c>
      <c r="AH41" s="28">
        <v>30</v>
      </c>
      <c r="AI41" s="28">
        <v>25.5</v>
      </c>
      <c r="AJ41" s="28">
        <v>23.5</v>
      </c>
      <c r="AK41" s="28">
        <v>22</v>
      </c>
      <c r="AL41" s="28">
        <v>21</v>
      </c>
      <c r="AM41" s="28">
        <v>20</v>
      </c>
      <c r="AN41" s="28">
        <v>20</v>
      </c>
      <c r="AO41" s="28">
        <v>18.5</v>
      </c>
      <c r="AP41" s="28">
        <v>18.5</v>
      </c>
      <c r="AQ41" s="28">
        <v>18.5</v>
      </c>
      <c r="AR41" s="28">
        <v>18.5</v>
      </c>
      <c r="AS41" s="28">
        <v>18.5</v>
      </c>
      <c r="AT41" s="28">
        <v>18.5</v>
      </c>
      <c r="AU41" s="28">
        <v>18.5</v>
      </c>
      <c r="AV41" s="28">
        <v>18.5</v>
      </c>
      <c r="AW41" s="28">
        <v>18.5</v>
      </c>
    </row>
    <row r="42" spans="2:49">
      <c r="B42" s="1" t="s">
        <v>116</v>
      </c>
      <c r="C42" s="1" t="s">
        <v>117</v>
      </c>
      <c r="D42" s="1" t="s">
        <v>11</v>
      </c>
      <c r="E42" s="1" t="s">
        <v>118</v>
      </c>
      <c r="F42" s="28" t="s">
        <v>8</v>
      </c>
      <c r="G42" s="28" t="s">
        <v>8</v>
      </c>
      <c r="H42" s="28" t="s">
        <v>8</v>
      </c>
      <c r="I42" s="28" t="s">
        <v>8</v>
      </c>
      <c r="J42" s="28" t="s">
        <v>8</v>
      </c>
      <c r="K42" s="28" t="s">
        <v>8</v>
      </c>
      <c r="L42" s="28" t="s">
        <v>8</v>
      </c>
      <c r="M42" s="28" t="s">
        <v>8</v>
      </c>
      <c r="N42" s="28" t="s">
        <v>8</v>
      </c>
      <c r="O42" s="28" t="s">
        <v>8</v>
      </c>
      <c r="P42" s="28" t="s">
        <v>8</v>
      </c>
      <c r="Q42" s="28" t="s">
        <v>8</v>
      </c>
      <c r="R42" s="28" t="s">
        <v>8</v>
      </c>
      <c r="S42" s="28" t="s">
        <v>8</v>
      </c>
      <c r="T42" s="28" t="s">
        <v>8</v>
      </c>
      <c r="U42" s="28" t="s">
        <v>8</v>
      </c>
      <c r="V42" s="28" t="s">
        <v>8</v>
      </c>
      <c r="W42" s="28" t="s">
        <v>8</v>
      </c>
      <c r="X42" s="28" t="s">
        <v>8</v>
      </c>
      <c r="Y42" s="28" t="s">
        <v>8</v>
      </c>
      <c r="Z42" s="28" t="s">
        <v>8</v>
      </c>
      <c r="AA42" s="28" t="s">
        <v>8</v>
      </c>
      <c r="AB42" s="28" t="s">
        <v>8</v>
      </c>
      <c r="AC42" s="28" t="s">
        <v>8</v>
      </c>
      <c r="AD42" s="28" t="s">
        <v>8</v>
      </c>
      <c r="AE42" s="28" t="s">
        <v>8</v>
      </c>
      <c r="AF42" s="28" t="s">
        <v>8</v>
      </c>
      <c r="AG42" s="28" t="s">
        <v>8</v>
      </c>
      <c r="AH42" s="28" t="s">
        <v>8</v>
      </c>
      <c r="AI42" s="28" t="s">
        <v>8</v>
      </c>
      <c r="AJ42" s="28">
        <v>30</v>
      </c>
      <c r="AK42" s="28">
        <v>30</v>
      </c>
      <c r="AL42" s="28">
        <v>30</v>
      </c>
      <c r="AM42" s="28">
        <v>30</v>
      </c>
      <c r="AN42" s="28">
        <v>30</v>
      </c>
      <c r="AO42" s="28">
        <v>30</v>
      </c>
      <c r="AP42" s="28">
        <v>30</v>
      </c>
      <c r="AQ42" s="28">
        <v>30</v>
      </c>
      <c r="AR42" s="28">
        <v>30</v>
      </c>
      <c r="AS42" s="28">
        <v>30</v>
      </c>
      <c r="AT42" s="28">
        <v>30</v>
      </c>
      <c r="AU42" s="28">
        <v>25</v>
      </c>
      <c r="AV42" s="28">
        <v>25</v>
      </c>
      <c r="AW42" s="28">
        <v>25</v>
      </c>
    </row>
    <row r="43" spans="2:49">
      <c r="B43" s="1" t="s">
        <v>119</v>
      </c>
      <c r="C43" s="1" t="s">
        <v>120</v>
      </c>
      <c r="D43" s="1" t="s">
        <v>29</v>
      </c>
      <c r="E43" s="1" t="s">
        <v>121</v>
      </c>
      <c r="F43" s="28" t="s">
        <v>8</v>
      </c>
      <c r="G43" s="28" t="s">
        <v>8</v>
      </c>
      <c r="H43" s="28" t="s">
        <v>8</v>
      </c>
      <c r="I43" s="28" t="s">
        <v>8</v>
      </c>
      <c r="J43" s="28" t="s">
        <v>8</v>
      </c>
      <c r="K43" s="28" t="s">
        <v>8</v>
      </c>
      <c r="L43" s="28" t="s">
        <v>8</v>
      </c>
      <c r="M43" s="28" t="s">
        <v>8</v>
      </c>
      <c r="N43" s="28" t="s">
        <v>8</v>
      </c>
      <c r="O43" s="28" t="s">
        <v>8</v>
      </c>
      <c r="P43" s="28" t="s">
        <v>8</v>
      </c>
      <c r="Q43" s="28" t="s">
        <v>8</v>
      </c>
      <c r="R43" s="28" t="s">
        <v>8</v>
      </c>
      <c r="S43" s="28" t="s">
        <v>8</v>
      </c>
      <c r="T43" s="28" t="s">
        <v>8</v>
      </c>
      <c r="U43" s="28" t="s">
        <v>8</v>
      </c>
      <c r="V43" s="28" t="s">
        <v>8</v>
      </c>
      <c r="W43" s="28" t="s">
        <v>8</v>
      </c>
      <c r="X43" s="28" t="s">
        <v>8</v>
      </c>
      <c r="Y43" s="28" t="s">
        <v>8</v>
      </c>
      <c r="Z43" s="28" t="s">
        <v>8</v>
      </c>
      <c r="AA43" s="28" t="s">
        <v>8</v>
      </c>
      <c r="AB43" s="28" t="s">
        <v>8</v>
      </c>
      <c r="AC43" s="28" t="s">
        <v>8</v>
      </c>
      <c r="AD43" s="28" t="s">
        <v>8</v>
      </c>
      <c r="AE43" s="28" t="s">
        <v>8</v>
      </c>
      <c r="AF43" s="28" t="s">
        <v>8</v>
      </c>
      <c r="AG43" s="28" t="s">
        <v>8</v>
      </c>
      <c r="AH43" s="28" t="s">
        <v>8</v>
      </c>
      <c r="AI43" s="28" t="s">
        <v>8</v>
      </c>
      <c r="AJ43" s="28" t="s">
        <v>8</v>
      </c>
      <c r="AK43" s="28" t="s">
        <v>8</v>
      </c>
      <c r="AL43" s="28" t="s">
        <v>8</v>
      </c>
      <c r="AM43" s="28" t="s">
        <v>8</v>
      </c>
      <c r="AN43" s="28" t="s">
        <v>8</v>
      </c>
      <c r="AO43" s="28" t="s">
        <v>8</v>
      </c>
      <c r="AP43" s="28" t="s">
        <v>8</v>
      </c>
      <c r="AQ43" s="28" t="s">
        <v>8</v>
      </c>
      <c r="AR43" s="28" t="s">
        <v>8</v>
      </c>
      <c r="AS43" s="28" t="s">
        <v>8</v>
      </c>
      <c r="AT43" s="28" t="s">
        <v>8</v>
      </c>
      <c r="AU43" s="28" t="s">
        <v>8</v>
      </c>
      <c r="AV43" s="28" t="s">
        <v>8</v>
      </c>
      <c r="AW43" s="28" t="s">
        <v>8</v>
      </c>
    </row>
    <row r="44" spans="2:49">
      <c r="B44" s="1" t="s">
        <v>122</v>
      </c>
      <c r="C44" s="1" t="s">
        <v>123</v>
      </c>
      <c r="D44" s="1" t="s">
        <v>9</v>
      </c>
      <c r="E44" s="1" t="s">
        <v>124</v>
      </c>
      <c r="F44" s="28">
        <v>35</v>
      </c>
      <c r="G44" s="28">
        <v>35</v>
      </c>
      <c r="H44" s="28">
        <v>35</v>
      </c>
      <c r="I44" s="28">
        <v>35</v>
      </c>
      <c r="J44" s="28">
        <v>35</v>
      </c>
      <c r="K44" s="28">
        <v>35</v>
      </c>
      <c r="L44" s="28">
        <v>35</v>
      </c>
      <c r="M44" s="28">
        <v>35</v>
      </c>
      <c r="N44" s="28">
        <v>40</v>
      </c>
      <c r="O44" s="28">
        <v>40</v>
      </c>
      <c r="P44" s="28">
        <v>40</v>
      </c>
      <c r="Q44" s="28">
        <v>30</v>
      </c>
      <c r="R44" s="28">
        <v>30</v>
      </c>
      <c r="S44" s="28">
        <v>30</v>
      </c>
      <c r="T44" s="28">
        <v>25</v>
      </c>
      <c r="U44" s="28">
        <v>25</v>
      </c>
      <c r="V44" s="28">
        <v>25</v>
      </c>
      <c r="W44" s="28">
        <v>25</v>
      </c>
      <c r="X44" s="28">
        <v>25</v>
      </c>
      <c r="Y44" s="28">
        <v>25</v>
      </c>
      <c r="Z44" s="28">
        <v>25</v>
      </c>
      <c r="AA44" s="28">
        <v>25</v>
      </c>
      <c r="AB44" s="28">
        <v>25</v>
      </c>
      <c r="AC44" s="28">
        <v>25</v>
      </c>
      <c r="AD44" s="28">
        <v>25</v>
      </c>
      <c r="AE44" s="28">
        <v>25</v>
      </c>
      <c r="AF44" s="28">
        <v>25</v>
      </c>
      <c r="AG44" s="28">
        <v>25</v>
      </c>
      <c r="AH44" s="28">
        <v>25</v>
      </c>
      <c r="AI44" s="28">
        <v>25</v>
      </c>
      <c r="AJ44" s="28">
        <v>25</v>
      </c>
      <c r="AK44" s="28">
        <v>22</v>
      </c>
      <c r="AL44" s="28">
        <v>22</v>
      </c>
      <c r="AM44" s="28">
        <v>22</v>
      </c>
      <c r="AN44" s="28">
        <v>22</v>
      </c>
      <c r="AO44" s="28">
        <v>22</v>
      </c>
      <c r="AP44" s="28">
        <v>22</v>
      </c>
      <c r="AQ44" s="28">
        <v>22</v>
      </c>
      <c r="AR44" s="28">
        <v>22</v>
      </c>
      <c r="AS44" s="28">
        <v>22</v>
      </c>
      <c r="AT44" s="28">
        <v>22</v>
      </c>
      <c r="AU44" s="28">
        <v>22</v>
      </c>
      <c r="AV44" s="28">
        <v>22</v>
      </c>
      <c r="AW44" s="28">
        <v>22</v>
      </c>
    </row>
    <row r="45" spans="2:49">
      <c r="B45" s="1" t="s">
        <v>125</v>
      </c>
      <c r="C45" s="1" t="s">
        <v>126</v>
      </c>
      <c r="D45" s="1" t="s">
        <v>9</v>
      </c>
      <c r="E45" s="1" t="s">
        <v>127</v>
      </c>
      <c r="F45" s="28" t="s">
        <v>8</v>
      </c>
      <c r="G45" s="28" t="s">
        <v>8</v>
      </c>
      <c r="H45" s="28" t="s">
        <v>8</v>
      </c>
      <c r="I45" s="28" t="s">
        <v>8</v>
      </c>
      <c r="J45" s="28" t="s">
        <v>8</v>
      </c>
      <c r="K45" s="28" t="s">
        <v>8</v>
      </c>
      <c r="L45" s="28" t="s">
        <v>8</v>
      </c>
      <c r="M45" s="28" t="s">
        <v>8</v>
      </c>
      <c r="N45" s="28" t="s">
        <v>8</v>
      </c>
      <c r="O45" s="28" t="s">
        <v>8</v>
      </c>
      <c r="P45" s="28" t="s">
        <v>8</v>
      </c>
      <c r="Q45" s="28" t="s">
        <v>8</v>
      </c>
      <c r="R45" s="28" t="s">
        <v>8</v>
      </c>
      <c r="S45" s="28" t="s">
        <v>8</v>
      </c>
      <c r="T45" s="28" t="s">
        <v>8</v>
      </c>
      <c r="U45" s="28" t="s">
        <v>8</v>
      </c>
      <c r="V45" s="28" t="s">
        <v>8</v>
      </c>
      <c r="W45" s="28" t="s">
        <v>8</v>
      </c>
      <c r="X45" s="28" t="s">
        <v>8</v>
      </c>
      <c r="Y45" s="28" t="s">
        <v>8</v>
      </c>
      <c r="Z45" s="28" t="s">
        <v>8</v>
      </c>
      <c r="AA45" s="28" t="s">
        <v>8</v>
      </c>
      <c r="AB45" s="28" t="s">
        <v>8</v>
      </c>
      <c r="AC45" s="28" t="s">
        <v>8</v>
      </c>
      <c r="AD45" s="28" t="s">
        <v>8</v>
      </c>
      <c r="AE45" s="28" t="s">
        <v>8</v>
      </c>
      <c r="AF45" s="28" t="s">
        <v>8</v>
      </c>
      <c r="AG45" s="28" t="s">
        <v>8</v>
      </c>
      <c r="AH45" s="28" t="s">
        <v>8</v>
      </c>
      <c r="AI45" s="28" t="s">
        <v>8</v>
      </c>
      <c r="AJ45" s="28" t="s">
        <v>8</v>
      </c>
      <c r="AK45" s="28" t="s">
        <v>8</v>
      </c>
      <c r="AL45" s="28" t="s">
        <v>8</v>
      </c>
      <c r="AM45" s="28">
        <v>30</v>
      </c>
      <c r="AN45" s="28">
        <v>30</v>
      </c>
      <c r="AO45" s="28">
        <v>30</v>
      </c>
      <c r="AP45" s="28">
        <v>30</v>
      </c>
      <c r="AQ45" s="28">
        <v>30</v>
      </c>
      <c r="AR45" s="28">
        <v>30</v>
      </c>
      <c r="AS45" s="28">
        <v>30</v>
      </c>
      <c r="AT45" s="28">
        <v>30</v>
      </c>
      <c r="AU45" s="28">
        <v>30</v>
      </c>
      <c r="AV45" s="28">
        <v>30</v>
      </c>
      <c r="AW45" s="28">
        <v>30</v>
      </c>
    </row>
    <row r="46" spans="2:49">
      <c r="B46" s="1" t="s">
        <v>128</v>
      </c>
      <c r="C46" s="1" t="s">
        <v>129</v>
      </c>
      <c r="D46" s="1" t="s">
        <v>6</v>
      </c>
      <c r="E46" s="1" t="s">
        <v>130</v>
      </c>
      <c r="F46" s="28" t="s">
        <v>8</v>
      </c>
      <c r="G46" s="28">
        <v>50.92</v>
      </c>
      <c r="H46" s="28">
        <v>49.53</v>
      </c>
      <c r="I46" s="28">
        <v>48.27</v>
      </c>
      <c r="J46" s="28">
        <v>47.63</v>
      </c>
      <c r="K46" s="28">
        <v>49.43</v>
      </c>
      <c r="L46" s="28">
        <v>49.76</v>
      </c>
      <c r="M46" s="28">
        <v>48.58</v>
      </c>
      <c r="N46" s="28">
        <v>41.29</v>
      </c>
      <c r="O46" s="28">
        <v>41.34</v>
      </c>
      <c r="P46" s="28">
        <v>41.45</v>
      </c>
      <c r="Q46" s="28">
        <v>41.81</v>
      </c>
      <c r="R46" s="28">
        <v>42.52</v>
      </c>
      <c r="S46" s="28">
        <v>44.3</v>
      </c>
      <c r="T46" s="28">
        <v>44.3</v>
      </c>
      <c r="U46" s="28">
        <v>44.6</v>
      </c>
      <c r="V46" s="28">
        <v>44.6</v>
      </c>
      <c r="W46" s="28">
        <v>44.6</v>
      </c>
      <c r="X46" s="28">
        <v>44.6</v>
      </c>
      <c r="Y46" s="28">
        <v>44.6</v>
      </c>
      <c r="Z46" s="28">
        <v>42.43</v>
      </c>
      <c r="AA46" s="28">
        <v>40.479999999999997</v>
      </c>
      <c r="AB46" s="28">
        <v>38.020000000000003</v>
      </c>
      <c r="AC46" s="28">
        <v>35.869999999999997</v>
      </c>
      <c r="AD46" s="28">
        <v>34.380000000000003</v>
      </c>
      <c r="AE46" s="28">
        <v>34.18</v>
      </c>
      <c r="AF46" s="28">
        <v>33.93</v>
      </c>
      <c r="AG46" s="28">
        <v>33.950000000000003</v>
      </c>
      <c r="AH46" s="28">
        <v>31.4</v>
      </c>
      <c r="AI46" s="28">
        <v>30.9</v>
      </c>
      <c r="AJ46" s="28">
        <v>29.4</v>
      </c>
      <c r="AK46" s="28">
        <v>27.7</v>
      </c>
      <c r="AL46" s="28">
        <v>26.1</v>
      </c>
      <c r="AM46" s="28">
        <v>26.2</v>
      </c>
      <c r="AN46" s="28">
        <v>26.2</v>
      </c>
      <c r="AO46" s="28">
        <v>26.7</v>
      </c>
      <c r="AP46" s="28">
        <v>26.7</v>
      </c>
      <c r="AQ46" s="28">
        <v>26.7</v>
      </c>
      <c r="AR46" s="28">
        <v>26.8</v>
      </c>
      <c r="AS46" s="28">
        <v>26.62</v>
      </c>
      <c r="AT46" s="28">
        <v>26.47</v>
      </c>
      <c r="AU46" s="28">
        <v>26.15</v>
      </c>
      <c r="AV46" s="28">
        <v>26.21</v>
      </c>
      <c r="AW46" s="28">
        <v>26.21</v>
      </c>
    </row>
    <row r="47" spans="2:49">
      <c r="B47" s="1" t="s">
        <v>131</v>
      </c>
      <c r="C47" s="1" t="s">
        <v>132</v>
      </c>
      <c r="D47" s="1" t="s">
        <v>11</v>
      </c>
      <c r="E47" s="1" t="s">
        <v>133</v>
      </c>
      <c r="F47" s="28" t="s">
        <v>8</v>
      </c>
      <c r="G47" s="28" t="s">
        <v>8</v>
      </c>
      <c r="H47" s="28" t="s">
        <v>8</v>
      </c>
      <c r="I47" s="28" t="s">
        <v>8</v>
      </c>
      <c r="J47" s="28" t="s">
        <v>8</v>
      </c>
      <c r="K47" s="28" t="s">
        <v>8</v>
      </c>
      <c r="L47" s="28" t="s">
        <v>8</v>
      </c>
      <c r="M47" s="28" t="s">
        <v>8</v>
      </c>
      <c r="N47" s="28" t="s">
        <v>8</v>
      </c>
      <c r="O47" s="28" t="s">
        <v>8</v>
      </c>
      <c r="P47" s="28" t="s">
        <v>8</v>
      </c>
      <c r="Q47" s="28" t="s">
        <v>8</v>
      </c>
      <c r="R47" s="28" t="s">
        <v>8</v>
      </c>
      <c r="S47" s="28" t="s">
        <v>8</v>
      </c>
      <c r="T47" s="28" t="s">
        <v>8</v>
      </c>
      <c r="U47" s="28" t="s">
        <v>8</v>
      </c>
      <c r="V47" s="28" t="s">
        <v>8</v>
      </c>
      <c r="W47" s="28" t="s">
        <v>8</v>
      </c>
      <c r="X47" s="28" t="s">
        <v>8</v>
      </c>
      <c r="Y47" s="28" t="s">
        <v>8</v>
      </c>
      <c r="Z47" s="28" t="s">
        <v>8</v>
      </c>
      <c r="AA47" s="28" t="s">
        <v>8</v>
      </c>
      <c r="AB47" s="28" t="s">
        <v>8</v>
      </c>
      <c r="AC47" s="28" t="s">
        <v>8</v>
      </c>
      <c r="AD47" s="28" t="s">
        <v>8</v>
      </c>
      <c r="AE47" s="28" t="s">
        <v>8</v>
      </c>
      <c r="AF47" s="28" t="s">
        <v>8</v>
      </c>
      <c r="AG47" s="28" t="s">
        <v>8</v>
      </c>
      <c r="AH47" s="28" t="s">
        <v>8</v>
      </c>
      <c r="AI47" s="28" t="s">
        <v>8</v>
      </c>
      <c r="AJ47" s="28" t="s">
        <v>8</v>
      </c>
      <c r="AK47" s="28" t="s">
        <v>8</v>
      </c>
      <c r="AL47" s="28" t="s">
        <v>8</v>
      </c>
      <c r="AM47" s="28" t="s">
        <v>8</v>
      </c>
      <c r="AN47" s="28" t="s">
        <v>8</v>
      </c>
      <c r="AO47" s="28" t="s">
        <v>8</v>
      </c>
      <c r="AP47" s="28" t="s">
        <v>8</v>
      </c>
      <c r="AQ47" s="28" t="s">
        <v>8</v>
      </c>
      <c r="AR47" s="28" t="s">
        <v>8</v>
      </c>
      <c r="AS47" s="28" t="s">
        <v>8</v>
      </c>
      <c r="AT47" s="28" t="s">
        <v>8</v>
      </c>
      <c r="AU47" s="28" t="s">
        <v>8</v>
      </c>
      <c r="AV47" s="28" t="s">
        <v>8</v>
      </c>
      <c r="AW47" s="28" t="s">
        <v>8</v>
      </c>
    </row>
    <row r="48" spans="2:49">
      <c r="B48" s="1" t="s">
        <v>134</v>
      </c>
      <c r="C48" s="1" t="s">
        <v>135</v>
      </c>
      <c r="D48" s="1" t="s">
        <v>21</v>
      </c>
      <c r="E48" s="1" t="s">
        <v>136</v>
      </c>
      <c r="F48" s="28" t="s">
        <v>8</v>
      </c>
      <c r="G48" s="28">
        <v>33.048269580000003</v>
      </c>
      <c r="H48" s="28">
        <v>33.048269580000003</v>
      </c>
      <c r="I48" s="28">
        <v>33.048269580000003</v>
      </c>
      <c r="J48" s="28">
        <v>32.866120219999999</v>
      </c>
      <c r="K48" s="28">
        <v>31.866120219999999</v>
      </c>
      <c r="L48" s="28">
        <v>31.683970859999999</v>
      </c>
      <c r="M48" s="28">
        <v>31.687613840000001</v>
      </c>
      <c r="N48" s="28">
        <v>30.594717670000001</v>
      </c>
      <c r="O48" s="28">
        <v>30.596539159999999</v>
      </c>
      <c r="P48" s="28">
        <v>30.596539159999999</v>
      </c>
      <c r="Q48" s="28">
        <v>27.72101468</v>
      </c>
      <c r="R48" s="28">
        <v>28.03435928</v>
      </c>
      <c r="S48" s="28">
        <v>28.466785699999999</v>
      </c>
      <c r="T48" s="28">
        <v>28.466785699999999</v>
      </c>
      <c r="U48" s="28">
        <v>28.46924177</v>
      </c>
      <c r="V48" s="28">
        <v>28.46924177</v>
      </c>
      <c r="W48" s="28">
        <v>28.46924177</v>
      </c>
      <c r="X48" s="28">
        <v>27.798459510000001</v>
      </c>
      <c r="Y48" s="28">
        <v>25.094194049999999</v>
      </c>
      <c r="Z48" s="28">
        <v>24.93</v>
      </c>
      <c r="AA48" s="28">
        <v>24.7</v>
      </c>
      <c r="AB48" s="28">
        <v>24.42</v>
      </c>
      <c r="AC48" s="28">
        <v>24.099824000000002</v>
      </c>
      <c r="AD48" s="28">
        <v>24.099824000000002</v>
      </c>
      <c r="AE48" s="28">
        <v>21.33</v>
      </c>
      <c r="AF48" s="28">
        <v>21.33</v>
      </c>
      <c r="AG48" s="28">
        <v>21.323278999999999</v>
      </c>
      <c r="AH48" s="28">
        <v>21.174437999999999</v>
      </c>
      <c r="AI48" s="28">
        <v>21.174437999999999</v>
      </c>
      <c r="AJ48" s="28">
        <v>21.174437999999999</v>
      </c>
      <c r="AK48" s="28">
        <v>21.174437999999999</v>
      </c>
      <c r="AL48" s="28">
        <v>21.174437999999999</v>
      </c>
      <c r="AM48" s="28">
        <v>21.148581</v>
      </c>
      <c r="AN48" s="28">
        <v>21.148581</v>
      </c>
      <c r="AO48" s="28">
        <v>21.148581</v>
      </c>
      <c r="AP48" s="28">
        <v>21.148581</v>
      </c>
      <c r="AQ48" s="28">
        <v>21.148581</v>
      </c>
      <c r="AR48" s="28">
        <v>21.148581</v>
      </c>
      <c r="AS48" s="28">
        <v>21.148581</v>
      </c>
      <c r="AT48" s="28">
        <v>21.148581</v>
      </c>
      <c r="AU48" s="28">
        <v>19.698516000000001</v>
      </c>
      <c r="AV48" s="28">
        <v>19.699000000000002</v>
      </c>
      <c r="AW48" s="28">
        <v>19.652999999999999</v>
      </c>
    </row>
    <row r="49" spans="2:49">
      <c r="B49" s="1" t="s">
        <v>137</v>
      </c>
      <c r="C49" s="1" t="s">
        <v>138</v>
      </c>
      <c r="D49" s="1" t="s">
        <v>37</v>
      </c>
      <c r="E49" s="1" t="s">
        <v>139</v>
      </c>
      <c r="F49" s="28">
        <v>48.6</v>
      </c>
      <c r="G49" s="28">
        <v>48.6</v>
      </c>
      <c r="H49" s="28">
        <v>48.6</v>
      </c>
      <c r="I49" s="28">
        <v>48.6</v>
      </c>
      <c r="J49" s="28">
        <v>37</v>
      </c>
      <c r="K49" s="28">
        <v>23.5</v>
      </c>
      <c r="L49" s="28">
        <v>37</v>
      </c>
      <c r="M49" s="28">
        <v>37</v>
      </c>
      <c r="N49" s="28">
        <v>32.5</v>
      </c>
      <c r="O49" s="28">
        <v>32.5</v>
      </c>
      <c r="P49" s="28">
        <v>32.5</v>
      </c>
      <c r="Q49" s="28">
        <v>35</v>
      </c>
      <c r="R49" s="28">
        <v>35</v>
      </c>
      <c r="S49" s="28">
        <v>35</v>
      </c>
      <c r="T49" s="28">
        <v>35</v>
      </c>
      <c r="U49" s="28">
        <v>35</v>
      </c>
      <c r="V49" s="28">
        <v>15</v>
      </c>
      <c r="W49" s="28">
        <v>15</v>
      </c>
      <c r="X49" s="28">
        <v>15</v>
      </c>
      <c r="Y49" s="28">
        <v>15</v>
      </c>
      <c r="Z49" s="28">
        <v>15</v>
      </c>
      <c r="AA49" s="28">
        <v>15</v>
      </c>
      <c r="AB49" s="28">
        <v>16</v>
      </c>
      <c r="AC49" s="28">
        <v>16.5</v>
      </c>
      <c r="AD49" s="28">
        <v>17</v>
      </c>
      <c r="AE49" s="28">
        <v>17</v>
      </c>
      <c r="AF49" s="28">
        <v>17</v>
      </c>
      <c r="AG49" s="28">
        <v>17</v>
      </c>
      <c r="AH49" s="28">
        <v>17</v>
      </c>
      <c r="AI49" s="28">
        <v>17</v>
      </c>
      <c r="AJ49" s="28">
        <v>17</v>
      </c>
      <c r="AK49" s="28">
        <v>20</v>
      </c>
      <c r="AL49" s="28">
        <v>20</v>
      </c>
      <c r="AM49" s="28">
        <v>20</v>
      </c>
      <c r="AN49" s="28">
        <v>21</v>
      </c>
      <c r="AO49" s="28">
        <v>22.5</v>
      </c>
      <c r="AP49" s="28">
        <v>24</v>
      </c>
      <c r="AQ49" s="28">
        <v>25</v>
      </c>
      <c r="AR49" s="28">
        <v>25</v>
      </c>
      <c r="AS49" s="28">
        <v>25</v>
      </c>
      <c r="AT49" s="28">
        <v>25</v>
      </c>
      <c r="AU49" s="28">
        <v>10</v>
      </c>
      <c r="AV49" s="28">
        <v>27</v>
      </c>
      <c r="AW49" s="28">
        <v>27</v>
      </c>
    </row>
    <row r="50" spans="2:49">
      <c r="B50" s="1" t="s">
        <v>140</v>
      </c>
      <c r="C50" s="1" t="s">
        <v>141</v>
      </c>
      <c r="D50" s="1" t="s">
        <v>11</v>
      </c>
      <c r="E50" s="1" t="s">
        <v>142</v>
      </c>
      <c r="F50" s="28">
        <v>55.2</v>
      </c>
      <c r="G50" s="28">
        <v>55.2</v>
      </c>
      <c r="H50" s="28">
        <v>55.2</v>
      </c>
      <c r="I50" s="28">
        <v>40</v>
      </c>
      <c r="J50" s="28">
        <v>40</v>
      </c>
      <c r="K50" s="28">
        <v>40</v>
      </c>
      <c r="L50" s="28">
        <v>40</v>
      </c>
      <c r="M50" s="28">
        <v>40</v>
      </c>
      <c r="N50" s="28">
        <v>40</v>
      </c>
      <c r="O50" s="28">
        <v>40</v>
      </c>
      <c r="P50" s="28">
        <v>40</v>
      </c>
      <c r="Q50" s="28">
        <v>40</v>
      </c>
      <c r="R50" s="28">
        <v>30</v>
      </c>
      <c r="S50" s="28">
        <v>30</v>
      </c>
      <c r="T50" s="28">
        <v>33</v>
      </c>
      <c r="U50" s="28">
        <v>33</v>
      </c>
      <c r="V50" s="28">
        <v>33</v>
      </c>
      <c r="W50" s="28">
        <v>33</v>
      </c>
      <c r="X50" s="28">
        <v>33</v>
      </c>
      <c r="Y50" s="28">
        <v>33</v>
      </c>
      <c r="Z50" s="28">
        <v>33</v>
      </c>
      <c r="AA50" s="28">
        <v>33</v>
      </c>
      <c r="AB50" s="28">
        <v>33</v>
      </c>
      <c r="AC50" s="28">
        <v>33</v>
      </c>
      <c r="AD50" s="28">
        <v>33</v>
      </c>
      <c r="AE50" s="28">
        <v>33</v>
      </c>
      <c r="AF50" s="28">
        <v>33</v>
      </c>
      <c r="AG50" s="28">
        <v>33</v>
      </c>
      <c r="AH50" s="28">
        <v>25</v>
      </c>
      <c r="AI50" s="28">
        <v>25</v>
      </c>
      <c r="AJ50" s="28">
        <v>25</v>
      </c>
      <c r="AK50" s="28">
        <v>25</v>
      </c>
      <c r="AL50" s="28">
        <v>25</v>
      </c>
      <c r="AM50" s="28">
        <v>25</v>
      </c>
      <c r="AN50" s="28">
        <v>25</v>
      </c>
      <c r="AO50" s="28">
        <v>25</v>
      </c>
      <c r="AP50" s="28">
        <v>25</v>
      </c>
      <c r="AQ50" s="28">
        <v>25</v>
      </c>
      <c r="AR50" s="28">
        <v>25</v>
      </c>
      <c r="AS50" s="28">
        <v>25</v>
      </c>
      <c r="AT50" s="28">
        <v>25</v>
      </c>
      <c r="AU50" s="28">
        <v>25</v>
      </c>
      <c r="AV50" s="28">
        <v>25</v>
      </c>
      <c r="AW50" s="28">
        <v>25</v>
      </c>
    </row>
    <row r="51" spans="2:49">
      <c r="B51" s="1" t="s">
        <v>143</v>
      </c>
      <c r="C51" s="1" t="s">
        <v>144</v>
      </c>
      <c r="D51" s="1" t="s">
        <v>9</v>
      </c>
      <c r="E51" s="1" t="s">
        <v>813</v>
      </c>
      <c r="F51" s="28">
        <v>40</v>
      </c>
      <c r="G51" s="28">
        <v>40</v>
      </c>
      <c r="H51" s="28">
        <v>40</v>
      </c>
      <c r="I51" s="28">
        <v>40</v>
      </c>
      <c r="J51" s="28">
        <v>40</v>
      </c>
      <c r="K51" s="28">
        <v>40</v>
      </c>
      <c r="L51" s="28">
        <v>40</v>
      </c>
      <c r="M51" s="28">
        <v>40</v>
      </c>
      <c r="N51" s="28">
        <v>40</v>
      </c>
      <c r="O51" s="28">
        <v>40</v>
      </c>
      <c r="P51" s="28">
        <v>40</v>
      </c>
      <c r="Q51" s="28">
        <v>40</v>
      </c>
      <c r="R51" s="28">
        <v>35</v>
      </c>
      <c r="S51" s="28">
        <v>35</v>
      </c>
      <c r="T51" s="28">
        <v>35</v>
      </c>
      <c r="U51" s="28">
        <v>35</v>
      </c>
      <c r="V51" s="28">
        <v>35</v>
      </c>
      <c r="W51" s="28">
        <v>35</v>
      </c>
      <c r="X51" s="28">
        <v>35</v>
      </c>
      <c r="Y51" s="28">
        <v>35</v>
      </c>
      <c r="Z51" s="28">
        <v>35</v>
      </c>
      <c r="AA51" s="28">
        <v>35</v>
      </c>
      <c r="AB51" s="28">
        <v>35</v>
      </c>
      <c r="AC51" s="28">
        <v>35</v>
      </c>
      <c r="AD51" s="28">
        <v>35</v>
      </c>
      <c r="AE51" s="28">
        <v>35</v>
      </c>
      <c r="AF51" s="28">
        <v>35</v>
      </c>
      <c r="AG51" s="28">
        <v>27</v>
      </c>
      <c r="AH51" s="28">
        <v>25</v>
      </c>
      <c r="AI51" s="28">
        <v>25</v>
      </c>
      <c r="AJ51" s="28">
        <v>25</v>
      </c>
      <c r="AK51" s="28">
        <v>25</v>
      </c>
      <c r="AL51" s="28">
        <v>25</v>
      </c>
      <c r="AM51" s="28">
        <v>25</v>
      </c>
      <c r="AN51" s="28">
        <v>25</v>
      </c>
      <c r="AO51" s="28">
        <v>25</v>
      </c>
      <c r="AP51" s="28">
        <v>25</v>
      </c>
      <c r="AQ51" s="28">
        <v>25</v>
      </c>
      <c r="AR51" s="28">
        <v>25</v>
      </c>
      <c r="AS51" s="28">
        <v>25</v>
      </c>
      <c r="AT51" s="28">
        <v>25</v>
      </c>
      <c r="AU51" s="28">
        <v>25</v>
      </c>
      <c r="AV51" s="28">
        <v>25</v>
      </c>
      <c r="AW51" s="28">
        <v>25</v>
      </c>
    </row>
    <row r="52" spans="2:49">
      <c r="B52" s="1" t="s">
        <v>145</v>
      </c>
      <c r="C52" s="1" t="s">
        <v>146</v>
      </c>
      <c r="D52" s="1" t="s">
        <v>9</v>
      </c>
      <c r="E52" s="1" t="s">
        <v>147</v>
      </c>
      <c r="F52" s="28" t="s">
        <v>8</v>
      </c>
      <c r="G52" s="28" t="s">
        <v>8</v>
      </c>
      <c r="H52" s="28" t="s">
        <v>8</v>
      </c>
      <c r="I52" s="28" t="s">
        <v>8</v>
      </c>
      <c r="J52" s="28" t="s">
        <v>8</v>
      </c>
      <c r="K52" s="28" t="s">
        <v>8</v>
      </c>
      <c r="L52" s="28" t="s">
        <v>8</v>
      </c>
      <c r="M52" s="28" t="s">
        <v>8</v>
      </c>
      <c r="N52" s="28">
        <v>38.5</v>
      </c>
      <c r="O52" s="28">
        <v>38.5</v>
      </c>
      <c r="P52" s="28">
        <v>38.5</v>
      </c>
      <c r="Q52" s="28">
        <v>38.5</v>
      </c>
      <c r="R52" s="28">
        <v>38.5</v>
      </c>
      <c r="S52" s="28">
        <v>38.5</v>
      </c>
      <c r="T52" s="28">
        <v>38.5</v>
      </c>
      <c r="U52" s="28">
        <v>38.5</v>
      </c>
      <c r="V52" s="28">
        <v>38.5</v>
      </c>
      <c r="W52" s="28">
        <v>38.5</v>
      </c>
      <c r="X52" s="28">
        <v>38.5</v>
      </c>
      <c r="Y52" s="28">
        <v>38.5</v>
      </c>
      <c r="Z52" s="28">
        <v>38.5</v>
      </c>
      <c r="AA52" s="28">
        <v>38.5</v>
      </c>
      <c r="AB52" s="28">
        <v>38.5</v>
      </c>
      <c r="AC52" s="28">
        <v>38.5</v>
      </c>
      <c r="AD52" s="28">
        <v>38.5</v>
      </c>
      <c r="AE52" s="28">
        <v>38.5</v>
      </c>
      <c r="AF52" s="28">
        <v>38.5</v>
      </c>
      <c r="AG52" s="28">
        <v>38.5</v>
      </c>
      <c r="AH52" s="28">
        <v>38.5</v>
      </c>
      <c r="AI52" s="28">
        <v>38.5</v>
      </c>
      <c r="AJ52" s="28">
        <v>38.5</v>
      </c>
      <c r="AK52" s="28">
        <v>38.5</v>
      </c>
      <c r="AL52" s="28">
        <v>38.5</v>
      </c>
      <c r="AM52" s="28">
        <v>38.5</v>
      </c>
      <c r="AN52" s="28">
        <v>38.5</v>
      </c>
      <c r="AO52" s="28">
        <v>33</v>
      </c>
      <c r="AP52" s="28">
        <v>33</v>
      </c>
      <c r="AQ52" s="28">
        <v>33</v>
      </c>
      <c r="AR52" s="28">
        <v>33</v>
      </c>
      <c r="AS52" s="28">
        <v>33</v>
      </c>
      <c r="AT52" s="28">
        <v>33</v>
      </c>
      <c r="AU52" s="28">
        <v>33</v>
      </c>
      <c r="AV52" s="28">
        <v>33</v>
      </c>
      <c r="AW52" s="28">
        <v>33</v>
      </c>
    </row>
    <row r="53" spans="2:49">
      <c r="B53" s="1" t="s">
        <v>148</v>
      </c>
      <c r="C53" s="1" t="s">
        <v>149</v>
      </c>
      <c r="D53" s="1" t="s">
        <v>9</v>
      </c>
      <c r="E53" s="1" t="s">
        <v>785</v>
      </c>
      <c r="F53" s="28">
        <v>50</v>
      </c>
      <c r="G53" s="28">
        <v>50</v>
      </c>
      <c r="H53" s="28">
        <v>50</v>
      </c>
      <c r="I53" s="28">
        <v>50</v>
      </c>
      <c r="J53" s="28">
        <v>50</v>
      </c>
      <c r="K53" s="28">
        <v>50</v>
      </c>
      <c r="L53" s="28">
        <v>50</v>
      </c>
      <c r="M53" s="28">
        <v>50</v>
      </c>
      <c r="N53" s="28">
        <v>50</v>
      </c>
      <c r="O53" s="28">
        <v>50</v>
      </c>
      <c r="P53" s="28">
        <v>50</v>
      </c>
      <c r="Q53" s="28">
        <v>50</v>
      </c>
      <c r="R53" s="28">
        <v>50</v>
      </c>
      <c r="S53" s="28">
        <v>50</v>
      </c>
      <c r="T53" s="28">
        <v>50</v>
      </c>
      <c r="U53" s="28">
        <v>50</v>
      </c>
      <c r="V53" s="28">
        <v>50</v>
      </c>
      <c r="W53" s="28">
        <v>50</v>
      </c>
      <c r="X53" s="28" t="s">
        <v>8</v>
      </c>
      <c r="Y53" s="28" t="s">
        <v>8</v>
      </c>
      <c r="Z53" s="28">
        <v>50</v>
      </c>
      <c r="AA53" s="28">
        <v>50</v>
      </c>
      <c r="AB53" s="28">
        <v>40</v>
      </c>
      <c r="AC53" s="28">
        <v>40</v>
      </c>
      <c r="AD53" s="28">
        <v>40</v>
      </c>
      <c r="AE53" s="28">
        <v>40</v>
      </c>
      <c r="AF53" s="28">
        <v>40</v>
      </c>
      <c r="AG53" s="28">
        <v>40</v>
      </c>
      <c r="AH53" s="28">
        <v>40</v>
      </c>
      <c r="AI53" s="28">
        <v>40</v>
      </c>
      <c r="AJ53" s="28">
        <v>40</v>
      </c>
      <c r="AK53" s="28">
        <v>40</v>
      </c>
      <c r="AL53" s="28">
        <v>40</v>
      </c>
      <c r="AM53" s="28">
        <v>35</v>
      </c>
      <c r="AN53" s="28">
        <v>35</v>
      </c>
      <c r="AO53" s="28">
        <v>35</v>
      </c>
      <c r="AP53" s="28">
        <v>35</v>
      </c>
      <c r="AQ53" s="28">
        <v>35</v>
      </c>
      <c r="AR53" s="28">
        <v>35</v>
      </c>
      <c r="AS53" s="28">
        <v>35</v>
      </c>
      <c r="AT53" s="28">
        <v>35</v>
      </c>
      <c r="AU53" s="28">
        <v>30</v>
      </c>
      <c r="AV53" s="28">
        <v>30</v>
      </c>
      <c r="AW53" s="28">
        <v>30</v>
      </c>
    </row>
    <row r="54" spans="2:49">
      <c r="B54" s="1" t="s">
        <v>150</v>
      </c>
      <c r="C54" s="1" t="s">
        <v>151</v>
      </c>
      <c r="D54" s="1" t="s">
        <v>9</v>
      </c>
      <c r="E54" s="1" t="s">
        <v>786</v>
      </c>
      <c r="F54" s="28" t="s">
        <v>8</v>
      </c>
      <c r="G54" s="28" t="s">
        <v>8</v>
      </c>
      <c r="H54" s="28" t="s">
        <v>8</v>
      </c>
      <c r="I54" s="28" t="s">
        <v>8</v>
      </c>
      <c r="J54" s="28" t="s">
        <v>8</v>
      </c>
      <c r="K54" s="28" t="s">
        <v>8</v>
      </c>
      <c r="L54" s="28" t="s">
        <v>8</v>
      </c>
      <c r="M54" s="28" t="s">
        <v>8</v>
      </c>
      <c r="N54" s="28" t="s">
        <v>8</v>
      </c>
      <c r="O54" s="28">
        <v>49</v>
      </c>
      <c r="P54" s="28">
        <v>49</v>
      </c>
      <c r="Q54" s="28">
        <v>49</v>
      </c>
      <c r="R54" s="28">
        <v>49</v>
      </c>
      <c r="S54" s="28">
        <v>49</v>
      </c>
      <c r="T54" s="28">
        <v>49</v>
      </c>
      <c r="U54" s="28">
        <v>49</v>
      </c>
      <c r="V54" s="28">
        <v>49</v>
      </c>
      <c r="W54" s="28">
        <v>45</v>
      </c>
      <c r="X54" s="28">
        <v>45</v>
      </c>
      <c r="Y54" s="28">
        <v>45</v>
      </c>
      <c r="Z54" s="28">
        <v>45</v>
      </c>
      <c r="AA54" s="28">
        <v>45</v>
      </c>
      <c r="AB54" s="28">
        <v>40</v>
      </c>
      <c r="AC54" s="28">
        <v>40</v>
      </c>
      <c r="AD54" s="28">
        <v>38</v>
      </c>
      <c r="AE54" s="28">
        <v>38</v>
      </c>
      <c r="AF54" s="28">
        <v>38</v>
      </c>
      <c r="AG54" s="28">
        <v>38</v>
      </c>
      <c r="AH54" s="28">
        <v>38</v>
      </c>
      <c r="AI54" s="28">
        <v>38</v>
      </c>
      <c r="AJ54" s="28">
        <v>38</v>
      </c>
      <c r="AK54" s="28">
        <v>36</v>
      </c>
      <c r="AL54" s="28">
        <v>35</v>
      </c>
      <c r="AM54" s="28">
        <v>33</v>
      </c>
      <c r="AN54" s="28">
        <v>33</v>
      </c>
      <c r="AO54" s="28">
        <v>30</v>
      </c>
      <c r="AP54" s="28">
        <v>30</v>
      </c>
      <c r="AQ54" s="28">
        <v>30</v>
      </c>
      <c r="AR54" s="28">
        <v>30</v>
      </c>
      <c r="AS54" s="28">
        <v>30</v>
      </c>
      <c r="AT54" s="28">
        <v>30</v>
      </c>
      <c r="AU54" s="28">
        <v>28</v>
      </c>
      <c r="AV54" s="28">
        <v>28</v>
      </c>
      <c r="AW54" s="28">
        <v>28</v>
      </c>
    </row>
    <row r="55" spans="2:49">
      <c r="B55" s="1" t="s">
        <v>152</v>
      </c>
      <c r="C55" s="1" t="s">
        <v>153</v>
      </c>
      <c r="D55" s="1" t="s">
        <v>43</v>
      </c>
      <c r="E55" s="1" t="s">
        <v>786</v>
      </c>
      <c r="F55" s="28" t="s">
        <v>8</v>
      </c>
      <c r="G55" s="28" t="s">
        <v>8</v>
      </c>
      <c r="H55" s="28" t="s">
        <v>8</v>
      </c>
      <c r="I55" s="28" t="s">
        <v>8</v>
      </c>
      <c r="J55" s="28" t="s">
        <v>8</v>
      </c>
      <c r="K55" s="28" t="s">
        <v>8</v>
      </c>
      <c r="L55" s="28" t="s">
        <v>8</v>
      </c>
      <c r="M55" s="28" t="s">
        <v>8</v>
      </c>
      <c r="N55" s="28" t="s">
        <v>8</v>
      </c>
      <c r="O55" s="28" t="s">
        <v>8</v>
      </c>
      <c r="P55" s="28" t="s">
        <v>8</v>
      </c>
      <c r="Q55" s="28" t="s">
        <v>8</v>
      </c>
      <c r="R55" s="28" t="s">
        <v>8</v>
      </c>
      <c r="S55" s="28" t="s">
        <v>8</v>
      </c>
      <c r="T55" s="28" t="s">
        <v>8</v>
      </c>
      <c r="U55" s="28" t="s">
        <v>8</v>
      </c>
      <c r="V55" s="28" t="s">
        <v>8</v>
      </c>
      <c r="W55" s="28" t="s">
        <v>8</v>
      </c>
      <c r="X55" s="28" t="s">
        <v>8</v>
      </c>
      <c r="Y55" s="28" t="s">
        <v>8</v>
      </c>
      <c r="Z55" s="28">
        <v>0</v>
      </c>
      <c r="AA55" s="28">
        <v>0</v>
      </c>
      <c r="AB55" s="28">
        <v>0</v>
      </c>
      <c r="AC55" s="28">
        <v>0</v>
      </c>
      <c r="AD55" s="28">
        <v>0</v>
      </c>
      <c r="AE55" s="28">
        <v>0</v>
      </c>
      <c r="AF55" s="28">
        <v>0</v>
      </c>
      <c r="AG55" s="28">
        <v>0</v>
      </c>
      <c r="AH55" s="28">
        <v>0</v>
      </c>
      <c r="AI55" s="28">
        <v>0</v>
      </c>
      <c r="AJ55" s="28">
        <v>0</v>
      </c>
      <c r="AK55" s="28">
        <v>0</v>
      </c>
      <c r="AL55" s="28">
        <v>0</v>
      </c>
      <c r="AM55" s="28">
        <v>0</v>
      </c>
      <c r="AN55" s="28">
        <v>0</v>
      </c>
      <c r="AO55" s="28">
        <v>0</v>
      </c>
      <c r="AP55" s="28">
        <v>20</v>
      </c>
      <c r="AQ55" s="28">
        <v>20</v>
      </c>
      <c r="AR55" s="28">
        <v>20</v>
      </c>
      <c r="AS55" s="28">
        <v>20</v>
      </c>
      <c r="AT55" s="28">
        <v>20</v>
      </c>
      <c r="AU55" s="28">
        <v>20</v>
      </c>
      <c r="AV55" s="28">
        <v>20</v>
      </c>
      <c r="AW55" s="28">
        <v>20</v>
      </c>
    </row>
    <row r="56" spans="2:49">
      <c r="B56" s="1" t="s">
        <v>155</v>
      </c>
      <c r="C56" s="1" t="s">
        <v>156</v>
      </c>
      <c r="D56" s="1" t="s">
        <v>37</v>
      </c>
      <c r="E56" s="1" t="s">
        <v>157</v>
      </c>
      <c r="F56" s="28">
        <v>40</v>
      </c>
      <c r="G56" s="28">
        <v>40</v>
      </c>
      <c r="H56" s="28">
        <v>40</v>
      </c>
      <c r="I56" s="28">
        <v>40</v>
      </c>
      <c r="J56" s="28">
        <v>40</v>
      </c>
      <c r="K56" s="28">
        <v>40</v>
      </c>
      <c r="L56" s="28">
        <v>33</v>
      </c>
      <c r="M56" s="28">
        <v>32</v>
      </c>
      <c r="N56" s="28">
        <v>31</v>
      </c>
      <c r="O56" s="28">
        <v>30</v>
      </c>
      <c r="P56" s="28">
        <v>30</v>
      </c>
      <c r="Q56" s="28">
        <v>30</v>
      </c>
      <c r="R56" s="28">
        <v>30</v>
      </c>
      <c r="S56" s="28">
        <v>30</v>
      </c>
      <c r="T56" s="28">
        <v>30</v>
      </c>
      <c r="U56" s="28">
        <v>30</v>
      </c>
      <c r="V56" s="28">
        <v>35</v>
      </c>
      <c r="W56" s="28">
        <v>35</v>
      </c>
      <c r="X56" s="28">
        <v>35</v>
      </c>
      <c r="Y56" s="28">
        <v>35</v>
      </c>
      <c r="Z56" s="28">
        <v>35</v>
      </c>
      <c r="AA56" s="28">
        <v>35</v>
      </c>
      <c r="AB56" s="28">
        <v>35</v>
      </c>
      <c r="AC56" s="28">
        <v>35</v>
      </c>
      <c r="AD56" s="28">
        <v>35</v>
      </c>
      <c r="AE56" s="28">
        <v>35</v>
      </c>
      <c r="AF56" s="28">
        <v>35</v>
      </c>
      <c r="AG56" s="28">
        <v>34</v>
      </c>
      <c r="AH56" s="28">
        <v>33</v>
      </c>
      <c r="AI56" s="28">
        <v>33</v>
      </c>
      <c r="AJ56" s="28">
        <v>33</v>
      </c>
      <c r="AK56" s="28">
        <v>33</v>
      </c>
      <c r="AL56" s="28">
        <v>33</v>
      </c>
      <c r="AM56" s="28">
        <v>25</v>
      </c>
      <c r="AN56" s="28">
        <v>25</v>
      </c>
      <c r="AO56" s="28">
        <v>25</v>
      </c>
      <c r="AP56" s="28">
        <v>25</v>
      </c>
      <c r="AQ56" s="28">
        <v>34</v>
      </c>
      <c r="AR56" s="28">
        <v>33</v>
      </c>
      <c r="AS56" s="28">
        <v>33</v>
      </c>
      <c r="AT56" s="28">
        <v>32</v>
      </c>
      <c r="AU56" s="28">
        <v>31</v>
      </c>
      <c r="AV56" s="28">
        <v>35</v>
      </c>
      <c r="AW56" s="28">
        <v>35</v>
      </c>
    </row>
    <row r="57" spans="2:49">
      <c r="B57" s="1" t="s">
        <v>158</v>
      </c>
      <c r="C57" s="1" t="s">
        <v>159</v>
      </c>
      <c r="D57" s="1" t="s">
        <v>9</v>
      </c>
      <c r="E57" s="1" t="s">
        <v>160</v>
      </c>
      <c r="F57" s="28" t="s">
        <v>8</v>
      </c>
      <c r="G57" s="28" t="s">
        <v>8</v>
      </c>
      <c r="H57" s="28" t="s">
        <v>8</v>
      </c>
      <c r="I57" s="28" t="s">
        <v>8</v>
      </c>
      <c r="J57" s="28" t="s">
        <v>8</v>
      </c>
      <c r="K57" s="28" t="s">
        <v>8</v>
      </c>
      <c r="L57" s="28" t="s">
        <v>8</v>
      </c>
      <c r="M57" s="28" t="s">
        <v>8</v>
      </c>
      <c r="N57" s="28" t="s">
        <v>8</v>
      </c>
      <c r="O57" s="28" t="s">
        <v>8</v>
      </c>
      <c r="P57" s="28" t="s">
        <v>8</v>
      </c>
      <c r="Q57" s="28" t="s">
        <v>8</v>
      </c>
      <c r="R57" s="28" t="s">
        <v>8</v>
      </c>
      <c r="S57" s="28" t="s">
        <v>8</v>
      </c>
      <c r="T57" s="28" t="s">
        <v>8</v>
      </c>
      <c r="U57" s="28" t="s">
        <v>8</v>
      </c>
      <c r="V57" s="28" t="s">
        <v>8</v>
      </c>
      <c r="W57" s="28" t="s">
        <v>8</v>
      </c>
      <c r="X57" s="28" t="s">
        <v>8</v>
      </c>
      <c r="Y57" s="28" t="s">
        <v>8</v>
      </c>
      <c r="Z57" s="28" t="s">
        <v>8</v>
      </c>
      <c r="AA57" s="28" t="s">
        <v>8</v>
      </c>
      <c r="AB57" s="28" t="s">
        <v>8</v>
      </c>
      <c r="AC57" s="28" t="s">
        <v>8</v>
      </c>
      <c r="AD57" s="28" t="s">
        <v>8</v>
      </c>
      <c r="AE57" s="28" t="s">
        <v>8</v>
      </c>
      <c r="AF57" s="28" t="s">
        <v>8</v>
      </c>
      <c r="AG57" s="28" t="s">
        <v>8</v>
      </c>
      <c r="AH57" s="28" t="s">
        <v>8</v>
      </c>
      <c r="AI57" s="28" t="s">
        <v>8</v>
      </c>
      <c r="AJ57" s="28" t="s">
        <v>8</v>
      </c>
      <c r="AK57" s="28" t="s">
        <v>8</v>
      </c>
      <c r="AL57" s="28" t="s">
        <v>8</v>
      </c>
      <c r="AM57" s="28" t="s">
        <v>8</v>
      </c>
      <c r="AN57" s="28" t="s">
        <v>8</v>
      </c>
      <c r="AO57" s="28">
        <v>35</v>
      </c>
      <c r="AP57" s="28" t="s">
        <v>8</v>
      </c>
      <c r="AQ57" s="28">
        <v>50</v>
      </c>
      <c r="AR57" s="28">
        <v>50</v>
      </c>
      <c r="AS57" s="28">
        <v>50</v>
      </c>
      <c r="AT57" s="28">
        <v>50</v>
      </c>
      <c r="AU57" s="28">
        <v>50</v>
      </c>
      <c r="AV57" s="28">
        <v>50</v>
      </c>
      <c r="AW57" s="28">
        <v>50</v>
      </c>
    </row>
    <row r="58" spans="2:49">
      <c r="B58" s="1" t="s">
        <v>161</v>
      </c>
      <c r="C58" s="1" t="s">
        <v>162</v>
      </c>
      <c r="D58" s="1" t="s">
        <v>9</v>
      </c>
      <c r="E58" s="1" t="s">
        <v>784</v>
      </c>
      <c r="F58" s="28" t="s">
        <v>8</v>
      </c>
      <c r="G58" s="28" t="s">
        <v>8</v>
      </c>
      <c r="H58" s="28" t="s">
        <v>8</v>
      </c>
      <c r="I58" s="28" t="s">
        <v>8</v>
      </c>
      <c r="J58" s="28" t="s">
        <v>8</v>
      </c>
      <c r="K58" s="28" t="s">
        <v>8</v>
      </c>
      <c r="L58" s="28" t="s">
        <v>8</v>
      </c>
      <c r="M58" s="28" t="s">
        <v>8</v>
      </c>
      <c r="N58" s="28" t="s">
        <v>8</v>
      </c>
      <c r="O58" s="28" t="s">
        <v>8</v>
      </c>
      <c r="P58" s="28" t="s">
        <v>8</v>
      </c>
      <c r="Q58" s="28" t="s">
        <v>8</v>
      </c>
      <c r="R58" s="28" t="s">
        <v>8</v>
      </c>
      <c r="S58" s="28" t="s">
        <v>8</v>
      </c>
      <c r="T58" s="28" t="s">
        <v>8</v>
      </c>
      <c r="U58" s="28" t="s">
        <v>8</v>
      </c>
      <c r="V58" s="28" t="s">
        <v>8</v>
      </c>
      <c r="W58" s="28" t="s">
        <v>8</v>
      </c>
      <c r="X58" s="28" t="s">
        <v>8</v>
      </c>
      <c r="Y58" s="28" t="s">
        <v>8</v>
      </c>
      <c r="Z58" s="28">
        <v>35</v>
      </c>
      <c r="AA58" s="28">
        <v>35</v>
      </c>
      <c r="AB58" s="28">
        <v>35</v>
      </c>
      <c r="AC58" s="28">
        <v>30</v>
      </c>
      <c r="AD58" s="28">
        <v>30</v>
      </c>
      <c r="AE58" s="28">
        <v>30</v>
      </c>
      <c r="AF58" s="28">
        <v>30</v>
      </c>
      <c r="AG58" s="28">
        <v>30</v>
      </c>
      <c r="AH58" s="28">
        <v>30</v>
      </c>
      <c r="AI58" s="28">
        <v>25</v>
      </c>
      <c r="AJ58" s="28">
        <v>25</v>
      </c>
      <c r="AK58" s="28">
        <v>25</v>
      </c>
      <c r="AL58" s="28">
        <v>25</v>
      </c>
      <c r="AM58" s="28">
        <v>25</v>
      </c>
      <c r="AN58" s="28">
        <v>25</v>
      </c>
      <c r="AO58" s="28">
        <v>25</v>
      </c>
      <c r="AP58" s="28">
        <v>25</v>
      </c>
      <c r="AQ58" s="28">
        <v>25</v>
      </c>
      <c r="AR58" s="28">
        <v>25</v>
      </c>
      <c r="AS58" s="28">
        <v>22.44</v>
      </c>
      <c r="AT58" s="28">
        <v>22.44</v>
      </c>
      <c r="AU58" s="28">
        <v>22.44</v>
      </c>
      <c r="AV58" s="28">
        <v>22.44</v>
      </c>
      <c r="AW58" s="28">
        <v>22.44</v>
      </c>
    </row>
    <row r="59" spans="2:49">
      <c r="B59" s="1" t="s">
        <v>163</v>
      </c>
      <c r="C59" s="1" t="s">
        <v>164</v>
      </c>
      <c r="D59" s="1" t="s">
        <v>6</v>
      </c>
      <c r="E59" s="1" t="s">
        <v>165</v>
      </c>
      <c r="F59" s="28">
        <v>45</v>
      </c>
      <c r="G59" s="28">
        <v>45</v>
      </c>
      <c r="H59" s="28">
        <v>50</v>
      </c>
      <c r="I59" s="28">
        <v>50</v>
      </c>
      <c r="J59" s="28">
        <v>50</v>
      </c>
      <c r="K59" s="28">
        <v>50</v>
      </c>
      <c r="L59" s="28">
        <v>50</v>
      </c>
      <c r="M59" s="28">
        <v>50</v>
      </c>
      <c r="N59" s="28">
        <v>50</v>
      </c>
      <c r="O59" s="28">
        <v>30</v>
      </c>
      <c r="P59" s="28">
        <v>30</v>
      </c>
      <c r="Q59" s="28">
        <v>30</v>
      </c>
      <c r="R59" s="28">
        <v>30</v>
      </c>
      <c r="S59" s="28">
        <v>30</v>
      </c>
      <c r="T59" s="28">
        <v>30</v>
      </c>
      <c r="U59" s="28">
        <v>30</v>
      </c>
      <c r="V59" s="28">
        <v>30</v>
      </c>
      <c r="W59" s="28">
        <v>30</v>
      </c>
      <c r="X59" s="28">
        <v>30</v>
      </c>
      <c r="Y59" s="28">
        <v>30</v>
      </c>
      <c r="Z59" s="28">
        <v>30</v>
      </c>
      <c r="AA59" s="28">
        <v>30</v>
      </c>
      <c r="AB59" s="28">
        <v>30</v>
      </c>
      <c r="AC59" s="28">
        <v>36</v>
      </c>
      <c r="AD59" s="28">
        <v>30</v>
      </c>
      <c r="AE59" s="28">
        <v>30</v>
      </c>
      <c r="AF59" s="28">
        <v>30</v>
      </c>
      <c r="AG59" s="28">
        <v>30</v>
      </c>
      <c r="AH59" s="28">
        <v>30</v>
      </c>
      <c r="AI59" s="28">
        <v>30</v>
      </c>
      <c r="AJ59" s="28">
        <v>30</v>
      </c>
      <c r="AK59" s="28">
        <v>30</v>
      </c>
      <c r="AL59" s="28">
        <v>30</v>
      </c>
      <c r="AM59" s="28">
        <v>30</v>
      </c>
      <c r="AN59" s="28">
        <v>30</v>
      </c>
      <c r="AO59" s="28">
        <v>30</v>
      </c>
      <c r="AP59" s="28">
        <v>30</v>
      </c>
      <c r="AQ59" s="28">
        <v>30</v>
      </c>
      <c r="AR59" s="28">
        <v>30</v>
      </c>
      <c r="AS59" s="28">
        <v>30</v>
      </c>
      <c r="AT59" s="28">
        <v>30</v>
      </c>
      <c r="AU59" s="28">
        <v>30</v>
      </c>
      <c r="AV59" s="28">
        <v>30</v>
      </c>
      <c r="AW59" s="28">
        <v>30</v>
      </c>
    </row>
    <row r="60" spans="2:49">
      <c r="B60" s="1" t="s">
        <v>166</v>
      </c>
      <c r="C60" s="1" t="s">
        <v>167</v>
      </c>
      <c r="D60" s="1" t="s">
        <v>6</v>
      </c>
      <c r="E60" s="1" t="s">
        <v>168</v>
      </c>
      <c r="F60" s="28" t="s">
        <v>8</v>
      </c>
      <c r="G60" s="28" t="s">
        <v>8</v>
      </c>
      <c r="H60" s="28" t="s">
        <v>8</v>
      </c>
      <c r="I60" s="28" t="s">
        <v>8</v>
      </c>
      <c r="J60" s="28" t="s">
        <v>8</v>
      </c>
      <c r="K60" s="28" t="s">
        <v>8</v>
      </c>
      <c r="L60" s="28" t="s">
        <v>8</v>
      </c>
      <c r="M60" s="28" t="s">
        <v>8</v>
      </c>
      <c r="N60" s="28" t="s">
        <v>8</v>
      </c>
      <c r="O60" s="28" t="s">
        <v>8</v>
      </c>
      <c r="P60" s="28" t="s">
        <v>8</v>
      </c>
      <c r="Q60" s="28" t="s">
        <v>8</v>
      </c>
      <c r="R60" s="28" t="s">
        <v>8</v>
      </c>
      <c r="S60" s="28" t="s">
        <v>8</v>
      </c>
      <c r="T60" s="28" t="s">
        <v>8</v>
      </c>
      <c r="U60" s="28" t="s">
        <v>8</v>
      </c>
      <c r="V60" s="28" t="s">
        <v>8</v>
      </c>
      <c r="W60" s="28" t="s">
        <v>8</v>
      </c>
      <c r="X60" s="28" t="s">
        <v>8</v>
      </c>
      <c r="Y60" s="28" t="s">
        <v>8</v>
      </c>
      <c r="Z60" s="28" t="s">
        <v>8</v>
      </c>
      <c r="AA60" s="28" t="s">
        <v>8</v>
      </c>
      <c r="AB60" s="28" t="s">
        <v>8</v>
      </c>
      <c r="AC60" s="28" t="s">
        <v>8</v>
      </c>
      <c r="AD60" s="28" t="s">
        <v>8</v>
      </c>
      <c r="AE60" s="28" t="s">
        <v>8</v>
      </c>
      <c r="AF60" s="28" t="s">
        <v>8</v>
      </c>
      <c r="AG60" s="28" t="s">
        <v>8</v>
      </c>
      <c r="AH60" s="28" t="s">
        <v>8</v>
      </c>
      <c r="AI60" s="28" t="s">
        <v>8</v>
      </c>
      <c r="AJ60" s="28" t="s">
        <v>8</v>
      </c>
      <c r="AK60" s="28" t="s">
        <v>8</v>
      </c>
      <c r="AL60" s="28" t="s">
        <v>8</v>
      </c>
      <c r="AM60" s="28">
        <v>35</v>
      </c>
      <c r="AN60" s="28">
        <v>35</v>
      </c>
      <c r="AO60" s="28">
        <v>35</v>
      </c>
      <c r="AP60" s="28">
        <v>35</v>
      </c>
      <c r="AQ60" s="28">
        <v>35</v>
      </c>
      <c r="AR60" s="28">
        <v>35</v>
      </c>
      <c r="AS60" s="28">
        <v>35</v>
      </c>
      <c r="AT60" s="28">
        <v>35</v>
      </c>
      <c r="AU60" s="28">
        <v>35</v>
      </c>
      <c r="AV60" s="28">
        <v>35</v>
      </c>
      <c r="AW60" s="28">
        <v>35</v>
      </c>
    </row>
    <row r="61" spans="2:49" ht="16">
      <c r="B61" s="1" t="s">
        <v>169</v>
      </c>
      <c r="C61" s="1" t="s">
        <v>170</v>
      </c>
      <c r="D61" s="1" t="s">
        <v>6</v>
      </c>
      <c r="E61" t="s">
        <v>171</v>
      </c>
      <c r="F61" s="28" t="s">
        <v>8</v>
      </c>
      <c r="G61" s="28" t="s">
        <v>8</v>
      </c>
      <c r="H61" s="28" t="s">
        <v>8</v>
      </c>
      <c r="I61" s="28" t="s">
        <v>8</v>
      </c>
      <c r="J61" s="28" t="s">
        <v>8</v>
      </c>
      <c r="K61" s="28" t="s">
        <v>8</v>
      </c>
      <c r="L61" s="28" t="s">
        <v>8</v>
      </c>
      <c r="M61" s="28" t="s">
        <v>8</v>
      </c>
      <c r="N61" s="28" t="s">
        <v>8</v>
      </c>
      <c r="O61" s="28" t="s">
        <v>8</v>
      </c>
      <c r="P61" s="28" t="s">
        <v>8</v>
      </c>
      <c r="Q61" s="28" t="s">
        <v>8</v>
      </c>
      <c r="R61" s="28" t="s">
        <v>8</v>
      </c>
      <c r="S61" s="28" t="s">
        <v>8</v>
      </c>
      <c r="T61" s="28" t="s">
        <v>8</v>
      </c>
      <c r="U61" s="28" t="s">
        <v>8</v>
      </c>
      <c r="V61" s="28" t="s">
        <v>8</v>
      </c>
      <c r="W61" s="28" t="s">
        <v>8</v>
      </c>
      <c r="X61" s="28" t="s">
        <v>8</v>
      </c>
      <c r="Y61" s="28" t="s">
        <v>8</v>
      </c>
      <c r="Z61" s="28">
        <v>30</v>
      </c>
      <c r="AA61" s="28">
        <v>30</v>
      </c>
      <c r="AB61" s="28">
        <v>30</v>
      </c>
      <c r="AC61" s="28">
        <v>30</v>
      </c>
      <c r="AD61" s="28">
        <v>30</v>
      </c>
      <c r="AE61" s="28">
        <v>30</v>
      </c>
      <c r="AF61" s="28">
        <v>30</v>
      </c>
      <c r="AG61" s="28">
        <v>30</v>
      </c>
      <c r="AH61" s="28">
        <v>30</v>
      </c>
      <c r="AI61" s="28">
        <v>30</v>
      </c>
      <c r="AJ61" s="28">
        <v>30</v>
      </c>
      <c r="AK61" s="28">
        <v>34.5</v>
      </c>
      <c r="AL61" s="28">
        <v>27.5</v>
      </c>
      <c r="AM61" s="28">
        <v>27.5</v>
      </c>
      <c r="AN61" s="28">
        <v>27.5</v>
      </c>
      <c r="AO61" s="28">
        <v>25</v>
      </c>
      <c r="AP61" s="28">
        <v>22</v>
      </c>
      <c r="AQ61" s="28">
        <v>22</v>
      </c>
      <c r="AR61" s="28">
        <v>22</v>
      </c>
      <c r="AS61" s="28">
        <v>22</v>
      </c>
      <c r="AT61" s="28">
        <v>22</v>
      </c>
      <c r="AU61" s="28">
        <v>22</v>
      </c>
      <c r="AV61" s="28">
        <v>22</v>
      </c>
      <c r="AW61" s="28">
        <v>22</v>
      </c>
    </row>
    <row r="62" spans="2:49">
      <c r="B62" s="1" t="s">
        <v>172</v>
      </c>
      <c r="C62" s="1" t="s">
        <v>173</v>
      </c>
      <c r="D62" s="1" t="s">
        <v>11</v>
      </c>
      <c r="E62" s="1" t="s">
        <v>174</v>
      </c>
      <c r="F62" s="28" t="s">
        <v>8</v>
      </c>
      <c r="G62" s="28" t="s">
        <v>8</v>
      </c>
      <c r="H62" s="28" t="s">
        <v>8</v>
      </c>
      <c r="I62" s="28" t="s">
        <v>8</v>
      </c>
      <c r="J62" s="28" t="s">
        <v>8</v>
      </c>
      <c r="K62" s="28" t="s">
        <v>8</v>
      </c>
      <c r="L62" s="28" t="s">
        <v>8</v>
      </c>
      <c r="M62" s="28" t="s">
        <v>8</v>
      </c>
      <c r="N62" s="28" t="s">
        <v>8</v>
      </c>
      <c r="O62" s="28" t="s">
        <v>8</v>
      </c>
      <c r="P62" s="28" t="s">
        <v>8</v>
      </c>
      <c r="Q62" s="28" t="s">
        <v>8</v>
      </c>
      <c r="R62" s="28" t="s">
        <v>8</v>
      </c>
      <c r="S62" s="28" t="s">
        <v>8</v>
      </c>
      <c r="T62" s="28" t="s">
        <v>8</v>
      </c>
      <c r="U62" s="28" t="s">
        <v>8</v>
      </c>
      <c r="V62" s="28" t="s">
        <v>8</v>
      </c>
      <c r="W62" s="28" t="s">
        <v>8</v>
      </c>
      <c r="X62" s="28" t="s">
        <v>8</v>
      </c>
      <c r="Y62" s="28" t="s">
        <v>8</v>
      </c>
      <c r="Z62" s="28" t="s">
        <v>8</v>
      </c>
      <c r="AA62" s="28" t="s">
        <v>8</v>
      </c>
      <c r="AB62" s="28" t="s">
        <v>8</v>
      </c>
      <c r="AC62" s="28" t="s">
        <v>8</v>
      </c>
      <c r="AD62" s="28" t="s">
        <v>8</v>
      </c>
      <c r="AE62" s="28" t="s">
        <v>8</v>
      </c>
      <c r="AF62" s="28" t="s">
        <v>8</v>
      </c>
      <c r="AG62" s="28" t="s">
        <v>8</v>
      </c>
      <c r="AH62" s="28" t="s">
        <v>8</v>
      </c>
      <c r="AI62" s="28" t="s">
        <v>8</v>
      </c>
      <c r="AJ62" s="28" t="s">
        <v>8</v>
      </c>
      <c r="AK62" s="28" t="s">
        <v>8</v>
      </c>
      <c r="AL62" s="28" t="s">
        <v>8</v>
      </c>
      <c r="AM62" s="28" t="s">
        <v>8</v>
      </c>
      <c r="AN62" s="28" t="s">
        <v>8</v>
      </c>
      <c r="AO62" s="28" t="s">
        <v>8</v>
      </c>
      <c r="AP62" s="28" t="s">
        <v>8</v>
      </c>
      <c r="AQ62" s="28" t="s">
        <v>8</v>
      </c>
      <c r="AR62" s="28" t="s">
        <v>8</v>
      </c>
      <c r="AS62" s="28" t="s">
        <v>8</v>
      </c>
      <c r="AT62" s="28" t="s">
        <v>8</v>
      </c>
      <c r="AU62" s="28" t="s">
        <v>8</v>
      </c>
      <c r="AV62" s="28" t="s">
        <v>8</v>
      </c>
      <c r="AW62" s="28" t="s">
        <v>8</v>
      </c>
    </row>
    <row r="63" spans="2:49">
      <c r="B63" s="1" t="s">
        <v>175</v>
      </c>
      <c r="C63" s="1" t="s">
        <v>176</v>
      </c>
      <c r="D63" s="1" t="s">
        <v>6</v>
      </c>
      <c r="E63" s="1" t="s">
        <v>177</v>
      </c>
      <c r="F63" s="28">
        <v>0</v>
      </c>
      <c r="G63" s="28">
        <v>0</v>
      </c>
      <c r="H63" s="28">
        <v>0</v>
      </c>
      <c r="I63" s="28">
        <v>0</v>
      </c>
      <c r="J63" s="28">
        <v>0</v>
      </c>
      <c r="K63" s="28">
        <v>0</v>
      </c>
      <c r="L63" s="28">
        <v>0</v>
      </c>
      <c r="M63" s="28">
        <v>0</v>
      </c>
      <c r="N63" s="28">
        <v>0</v>
      </c>
      <c r="O63" s="28">
        <v>0</v>
      </c>
      <c r="P63" s="28">
        <v>0</v>
      </c>
      <c r="Q63" s="28">
        <v>0</v>
      </c>
      <c r="R63" s="28">
        <v>0</v>
      </c>
      <c r="S63" s="28">
        <v>0</v>
      </c>
      <c r="T63" s="28">
        <v>0</v>
      </c>
      <c r="U63" s="28">
        <v>0</v>
      </c>
      <c r="V63" s="28">
        <v>0</v>
      </c>
      <c r="W63" s="28">
        <v>0</v>
      </c>
      <c r="X63" s="28">
        <v>0</v>
      </c>
      <c r="Y63" s="28">
        <v>0</v>
      </c>
      <c r="Z63" s="28">
        <v>0</v>
      </c>
      <c r="AA63" s="28">
        <v>0</v>
      </c>
      <c r="AB63" s="28">
        <v>0</v>
      </c>
      <c r="AC63" s="28">
        <v>0</v>
      </c>
      <c r="AD63" s="28">
        <v>0</v>
      </c>
      <c r="AE63" s="28">
        <v>0</v>
      </c>
      <c r="AF63" s="28">
        <v>0</v>
      </c>
      <c r="AG63" s="28">
        <v>0</v>
      </c>
      <c r="AH63" s="28">
        <v>0</v>
      </c>
      <c r="AI63" s="28">
        <v>0</v>
      </c>
      <c r="AJ63" s="28">
        <v>0</v>
      </c>
      <c r="AK63" s="28">
        <v>0</v>
      </c>
      <c r="AL63" s="28">
        <v>0</v>
      </c>
      <c r="AM63" s="28">
        <v>0</v>
      </c>
      <c r="AN63" s="28">
        <v>0</v>
      </c>
      <c r="AO63" s="28">
        <v>0</v>
      </c>
      <c r="AP63" s="28">
        <v>0</v>
      </c>
      <c r="AQ63" s="28">
        <v>0</v>
      </c>
      <c r="AR63" s="28">
        <v>0</v>
      </c>
      <c r="AS63" s="28">
        <v>0</v>
      </c>
      <c r="AT63" s="28">
        <v>0</v>
      </c>
      <c r="AU63" s="28">
        <v>0</v>
      </c>
      <c r="AV63" s="28">
        <v>0</v>
      </c>
      <c r="AW63" s="28">
        <v>0</v>
      </c>
    </row>
    <row r="64" spans="2:49">
      <c r="B64" s="1" t="s">
        <v>178</v>
      </c>
      <c r="C64" s="1" t="s">
        <v>179</v>
      </c>
      <c r="D64" s="1" t="s">
        <v>21</v>
      </c>
      <c r="E64" s="1" t="s">
        <v>180</v>
      </c>
      <c r="F64" s="28">
        <v>42.5</v>
      </c>
      <c r="G64" s="28">
        <v>42.5</v>
      </c>
      <c r="H64" s="28">
        <v>42.5</v>
      </c>
      <c r="I64" s="28">
        <v>42.5</v>
      </c>
      <c r="J64" s="28">
        <v>42.5</v>
      </c>
      <c r="K64" s="28">
        <v>42.5</v>
      </c>
      <c r="L64" s="28">
        <v>42.5</v>
      </c>
      <c r="M64" s="28">
        <v>42.5</v>
      </c>
      <c r="N64" s="28">
        <v>42.5</v>
      </c>
      <c r="O64" s="28">
        <v>42.5</v>
      </c>
      <c r="P64" s="28">
        <v>42.5</v>
      </c>
      <c r="Q64" s="28">
        <v>25</v>
      </c>
      <c r="R64" s="28">
        <v>25</v>
      </c>
      <c r="S64" s="28">
        <v>25</v>
      </c>
      <c r="T64" s="28">
        <v>25</v>
      </c>
      <c r="U64" s="28">
        <v>25</v>
      </c>
      <c r="V64" s="28">
        <v>25</v>
      </c>
      <c r="W64" s="28">
        <v>25</v>
      </c>
      <c r="X64" s="28">
        <v>25</v>
      </c>
      <c r="Y64" s="28">
        <v>25</v>
      </c>
      <c r="Z64" s="28">
        <v>29</v>
      </c>
      <c r="AA64" s="28">
        <v>28</v>
      </c>
      <c r="AB64" s="28">
        <v>28</v>
      </c>
      <c r="AC64" s="28">
        <v>15</v>
      </c>
      <c r="AD64" s="28">
        <v>15</v>
      </c>
      <c r="AE64" s="28">
        <v>10</v>
      </c>
      <c r="AF64" s="28">
        <v>10</v>
      </c>
      <c r="AG64" s="28">
        <v>10</v>
      </c>
      <c r="AH64" s="28">
        <v>10</v>
      </c>
      <c r="AI64" s="28">
        <v>10</v>
      </c>
      <c r="AJ64" s="28">
        <v>10</v>
      </c>
      <c r="AK64" s="28">
        <v>10</v>
      </c>
      <c r="AL64" s="28">
        <v>10</v>
      </c>
      <c r="AM64" s="28">
        <v>12.5</v>
      </c>
      <c r="AN64" s="28">
        <v>12.5</v>
      </c>
      <c r="AO64" s="28">
        <v>12.5</v>
      </c>
      <c r="AP64" s="28">
        <v>12.5</v>
      </c>
      <c r="AQ64" s="28">
        <v>12.5</v>
      </c>
      <c r="AR64" s="28">
        <v>12.5</v>
      </c>
      <c r="AS64" s="28">
        <v>12.5</v>
      </c>
      <c r="AT64" s="28">
        <v>12.5</v>
      </c>
      <c r="AU64" s="28">
        <v>12.5</v>
      </c>
      <c r="AV64" s="28">
        <v>12.5</v>
      </c>
      <c r="AW64" s="28">
        <v>12.5</v>
      </c>
    </row>
    <row r="65" spans="2:49">
      <c r="B65" s="1" t="s">
        <v>181</v>
      </c>
      <c r="C65" s="1" t="s">
        <v>182</v>
      </c>
      <c r="D65" s="1" t="s">
        <v>21</v>
      </c>
      <c r="E65" s="1" t="s">
        <v>183</v>
      </c>
      <c r="F65" s="28" t="s">
        <v>8</v>
      </c>
      <c r="G65" s="28" t="s">
        <v>8</v>
      </c>
      <c r="H65" s="28" t="s">
        <v>8</v>
      </c>
      <c r="I65" s="28" t="s">
        <v>8</v>
      </c>
      <c r="J65" s="28" t="s">
        <v>8</v>
      </c>
      <c r="K65" s="28" t="s">
        <v>8</v>
      </c>
      <c r="L65" s="28" t="s">
        <v>8</v>
      </c>
      <c r="M65" s="28" t="s">
        <v>8</v>
      </c>
      <c r="N65" s="28" t="s">
        <v>8</v>
      </c>
      <c r="O65" s="28" t="s">
        <v>8</v>
      </c>
      <c r="P65" s="28" t="s">
        <v>8</v>
      </c>
      <c r="Q65" s="28">
        <v>40</v>
      </c>
      <c r="R65" s="28">
        <v>40</v>
      </c>
      <c r="S65" s="28">
        <v>45</v>
      </c>
      <c r="T65" s="28">
        <v>42</v>
      </c>
      <c r="U65" s="28">
        <v>41</v>
      </c>
      <c r="V65" s="28">
        <v>39</v>
      </c>
      <c r="W65" s="28">
        <v>39</v>
      </c>
      <c r="X65" s="28">
        <v>35</v>
      </c>
      <c r="Y65" s="28">
        <v>35</v>
      </c>
      <c r="Z65" s="28">
        <v>31</v>
      </c>
      <c r="AA65" s="28">
        <v>31</v>
      </c>
      <c r="AB65" s="28">
        <v>31</v>
      </c>
      <c r="AC65" s="28">
        <v>31</v>
      </c>
      <c r="AD65" s="28">
        <v>28</v>
      </c>
      <c r="AE65" s="28">
        <v>26</v>
      </c>
      <c r="AF65" s="28">
        <v>24</v>
      </c>
      <c r="AG65" s="28">
        <v>24</v>
      </c>
      <c r="AH65" s="28">
        <v>21</v>
      </c>
      <c r="AI65" s="28">
        <v>20</v>
      </c>
      <c r="AJ65" s="28">
        <v>19</v>
      </c>
      <c r="AK65" s="28">
        <v>19</v>
      </c>
      <c r="AL65" s="28">
        <v>19</v>
      </c>
      <c r="AM65" s="28">
        <v>19</v>
      </c>
      <c r="AN65" s="28">
        <v>19</v>
      </c>
      <c r="AO65" s="28">
        <v>19</v>
      </c>
      <c r="AP65" s="28">
        <v>19</v>
      </c>
      <c r="AQ65" s="28">
        <v>19</v>
      </c>
      <c r="AR65" s="28">
        <v>19</v>
      </c>
      <c r="AS65" s="28">
        <v>19</v>
      </c>
      <c r="AT65" s="28">
        <v>19</v>
      </c>
      <c r="AU65" s="28">
        <v>19</v>
      </c>
      <c r="AV65" s="28">
        <v>19</v>
      </c>
      <c r="AW65" s="28">
        <v>19</v>
      </c>
    </row>
    <row r="66" spans="2:49">
      <c r="B66" s="1" t="s">
        <v>184</v>
      </c>
      <c r="C66" s="1" t="s">
        <v>185</v>
      </c>
      <c r="D66" s="1" t="s">
        <v>21</v>
      </c>
      <c r="E66" s="1" t="s">
        <v>186</v>
      </c>
      <c r="F66" s="28" t="s">
        <v>8</v>
      </c>
      <c r="G66" s="28">
        <v>60</v>
      </c>
      <c r="H66" s="28">
        <v>60</v>
      </c>
      <c r="I66" s="28">
        <v>60</v>
      </c>
      <c r="J66" s="28">
        <v>60</v>
      </c>
      <c r="K66" s="28">
        <v>60</v>
      </c>
      <c r="L66" s="28">
        <v>60</v>
      </c>
      <c r="M66" s="28">
        <v>60</v>
      </c>
      <c r="N66" s="28">
        <v>60</v>
      </c>
      <c r="O66" s="28">
        <v>60</v>
      </c>
      <c r="P66" s="28">
        <v>54.545454550000002</v>
      </c>
      <c r="Q66" s="28">
        <v>56.25</v>
      </c>
      <c r="R66" s="28">
        <v>58.152173910000002</v>
      </c>
      <c r="S66" s="28">
        <v>56.52173913</v>
      </c>
      <c r="T66" s="28">
        <v>52.173913040000002</v>
      </c>
      <c r="U66" s="28">
        <v>55.108695650000001</v>
      </c>
      <c r="V66" s="28">
        <v>55.87606838</v>
      </c>
      <c r="W66" s="28">
        <v>56.799163180000001</v>
      </c>
      <c r="X66" s="28">
        <v>56.046025100000001</v>
      </c>
      <c r="Y66" s="28">
        <v>52.033195020000001</v>
      </c>
      <c r="Z66" s="28">
        <v>52.03</v>
      </c>
      <c r="AA66" s="28">
        <v>38.9</v>
      </c>
      <c r="AB66" s="28">
        <v>38.9</v>
      </c>
      <c r="AC66" s="28">
        <v>40.215767999999997</v>
      </c>
      <c r="AD66" s="28">
        <v>38.900415000000002</v>
      </c>
      <c r="AE66" s="28">
        <v>38.900415000000002</v>
      </c>
      <c r="AF66" s="28">
        <v>38.900415000000002</v>
      </c>
      <c r="AG66" s="28">
        <v>38.900415000000002</v>
      </c>
      <c r="AH66" s="28">
        <v>30.175000000000001</v>
      </c>
      <c r="AI66" s="28">
        <v>30.175000000000001</v>
      </c>
      <c r="AJ66" s="28">
        <v>30.175000000000001</v>
      </c>
      <c r="AK66" s="28">
        <v>30.175000000000001</v>
      </c>
      <c r="AL66" s="28">
        <v>30.175000000000001</v>
      </c>
      <c r="AM66" s="28">
        <v>30.175000000000001</v>
      </c>
      <c r="AN66" s="28">
        <v>30.175000000000001</v>
      </c>
      <c r="AO66" s="28">
        <v>30.175000000000001</v>
      </c>
      <c r="AP66" s="28">
        <v>30.175000000000001</v>
      </c>
      <c r="AQ66" s="28">
        <v>30.175000000000001</v>
      </c>
      <c r="AR66" s="28">
        <v>29.824999999999999</v>
      </c>
      <c r="AS66" s="28">
        <v>29.897058999999999</v>
      </c>
      <c r="AT66" s="28">
        <v>29.897058999999999</v>
      </c>
      <c r="AU66" s="28">
        <v>29.937781000000001</v>
      </c>
      <c r="AV66" s="28">
        <v>29.83</v>
      </c>
      <c r="AW66" s="28">
        <v>29.940999999999999</v>
      </c>
    </row>
    <row r="67" spans="2:49">
      <c r="B67" s="1" t="s">
        <v>187</v>
      </c>
      <c r="C67" s="1" t="s">
        <v>188</v>
      </c>
      <c r="D67" s="1" t="s">
        <v>9</v>
      </c>
      <c r="E67" s="1" t="s">
        <v>189</v>
      </c>
      <c r="F67" s="28" t="s">
        <v>8</v>
      </c>
      <c r="G67" s="28" t="s">
        <v>8</v>
      </c>
      <c r="H67" s="28" t="s">
        <v>8</v>
      </c>
      <c r="I67" s="28" t="s">
        <v>8</v>
      </c>
      <c r="J67" s="28" t="s">
        <v>8</v>
      </c>
      <c r="K67" s="28" t="s">
        <v>8</v>
      </c>
      <c r="L67" s="28" t="s">
        <v>8</v>
      </c>
      <c r="M67" s="28" t="s">
        <v>8</v>
      </c>
      <c r="N67" s="28" t="s">
        <v>8</v>
      </c>
      <c r="O67" s="28" t="s">
        <v>8</v>
      </c>
      <c r="P67" s="28" t="s">
        <v>8</v>
      </c>
      <c r="Q67" s="28" t="s">
        <v>8</v>
      </c>
      <c r="R67" s="28" t="s">
        <v>8</v>
      </c>
      <c r="S67" s="28" t="s">
        <v>8</v>
      </c>
      <c r="T67" s="28" t="s">
        <v>8</v>
      </c>
      <c r="U67" s="28" t="s">
        <v>8</v>
      </c>
      <c r="V67" s="28" t="s">
        <v>8</v>
      </c>
      <c r="W67" s="28" t="s">
        <v>8</v>
      </c>
      <c r="X67" s="28" t="s">
        <v>8</v>
      </c>
      <c r="Y67" s="28" t="s">
        <v>8</v>
      </c>
      <c r="Z67" s="28" t="s">
        <v>8</v>
      </c>
      <c r="AA67" s="28" t="s">
        <v>8</v>
      </c>
      <c r="AB67" s="28" t="s">
        <v>8</v>
      </c>
      <c r="AC67" s="28" t="s">
        <v>8</v>
      </c>
      <c r="AD67" s="28" t="s">
        <v>8</v>
      </c>
      <c r="AE67" s="28" t="s">
        <v>8</v>
      </c>
      <c r="AF67" s="28" t="s">
        <v>8</v>
      </c>
      <c r="AG67" s="28">
        <v>25</v>
      </c>
      <c r="AH67" s="28">
        <v>25</v>
      </c>
      <c r="AI67" s="28">
        <v>25</v>
      </c>
      <c r="AJ67" s="28">
        <v>25</v>
      </c>
      <c r="AK67" s="28">
        <v>25</v>
      </c>
      <c r="AL67" s="28">
        <v>25</v>
      </c>
      <c r="AM67" s="28">
        <v>25</v>
      </c>
      <c r="AN67" s="28">
        <v>25</v>
      </c>
      <c r="AO67" s="28">
        <v>25</v>
      </c>
      <c r="AP67" s="28">
        <v>25</v>
      </c>
      <c r="AQ67" s="28">
        <v>25</v>
      </c>
      <c r="AR67" s="28">
        <v>25</v>
      </c>
      <c r="AS67" s="28">
        <v>25</v>
      </c>
      <c r="AT67" s="28">
        <v>25</v>
      </c>
      <c r="AU67" s="28">
        <v>25</v>
      </c>
      <c r="AV67" s="28">
        <v>25</v>
      </c>
      <c r="AW67" s="28">
        <v>25</v>
      </c>
    </row>
    <row r="68" spans="2:49">
      <c r="B68" s="1" t="s">
        <v>190</v>
      </c>
      <c r="C68" s="1" t="s">
        <v>191</v>
      </c>
      <c r="D68" s="1" t="s">
        <v>6</v>
      </c>
      <c r="E68" s="1" t="s">
        <v>192</v>
      </c>
      <c r="F68" s="28" t="s">
        <v>8</v>
      </c>
      <c r="G68" s="28" t="s">
        <v>8</v>
      </c>
      <c r="H68" s="28" t="s">
        <v>8</v>
      </c>
      <c r="I68" s="28" t="s">
        <v>8</v>
      </c>
      <c r="J68" s="28" t="s">
        <v>8</v>
      </c>
      <c r="K68" s="28" t="s">
        <v>8</v>
      </c>
      <c r="L68" s="28" t="s">
        <v>8</v>
      </c>
      <c r="M68" s="28" t="s">
        <v>8</v>
      </c>
      <c r="N68" s="28" t="s">
        <v>8</v>
      </c>
      <c r="O68" s="28" t="s">
        <v>8</v>
      </c>
      <c r="P68" s="28" t="s">
        <v>8</v>
      </c>
      <c r="Q68" s="28">
        <v>35</v>
      </c>
      <c r="R68" s="28" t="s">
        <v>8</v>
      </c>
      <c r="S68" s="28" t="s">
        <v>8</v>
      </c>
      <c r="T68" s="28" t="s">
        <v>8</v>
      </c>
      <c r="U68" s="28" t="s">
        <v>8</v>
      </c>
      <c r="V68" s="28" t="s">
        <v>8</v>
      </c>
      <c r="W68" s="28" t="s">
        <v>8</v>
      </c>
      <c r="X68" s="28">
        <v>30</v>
      </c>
      <c r="Y68" s="28" t="s">
        <v>8</v>
      </c>
      <c r="Z68" s="28">
        <v>30</v>
      </c>
      <c r="AA68" s="28">
        <v>30</v>
      </c>
      <c r="AB68" s="28">
        <v>30</v>
      </c>
      <c r="AC68" s="28">
        <v>30</v>
      </c>
      <c r="AD68" s="28">
        <v>30</v>
      </c>
      <c r="AE68" s="28">
        <v>30</v>
      </c>
      <c r="AF68" s="28">
        <v>30</v>
      </c>
      <c r="AG68" s="28">
        <v>30</v>
      </c>
      <c r="AH68" s="28">
        <v>30</v>
      </c>
      <c r="AI68" s="28">
        <v>30</v>
      </c>
      <c r="AJ68" s="28">
        <v>30</v>
      </c>
      <c r="AK68" s="28">
        <v>30</v>
      </c>
      <c r="AL68" s="28">
        <v>30</v>
      </c>
      <c r="AM68" s="28">
        <v>30</v>
      </c>
      <c r="AN68" s="28">
        <v>30</v>
      </c>
      <c r="AO68" s="28">
        <v>28</v>
      </c>
      <c r="AP68" s="28">
        <v>25</v>
      </c>
      <c r="AQ68" s="28">
        <v>25</v>
      </c>
      <c r="AR68" s="28">
        <v>25</v>
      </c>
      <c r="AS68" s="28">
        <v>25</v>
      </c>
      <c r="AT68" s="28">
        <v>25</v>
      </c>
      <c r="AU68" s="28">
        <v>25</v>
      </c>
      <c r="AV68" s="28">
        <v>25</v>
      </c>
      <c r="AW68" s="28">
        <v>25</v>
      </c>
    </row>
    <row r="69" spans="2:49">
      <c r="B69" s="1" t="s">
        <v>193</v>
      </c>
      <c r="C69" s="1" t="s">
        <v>194</v>
      </c>
      <c r="D69" s="1" t="s">
        <v>21</v>
      </c>
      <c r="E69" s="1" t="s">
        <v>195</v>
      </c>
      <c r="F69" s="28">
        <v>40</v>
      </c>
      <c r="G69" s="28">
        <v>40</v>
      </c>
      <c r="H69" s="28">
        <v>40</v>
      </c>
      <c r="I69" s="28">
        <v>40</v>
      </c>
      <c r="J69" s="28">
        <v>40</v>
      </c>
      <c r="K69" s="28">
        <v>50</v>
      </c>
      <c r="L69" s="28">
        <v>50</v>
      </c>
      <c r="M69" s="28">
        <v>50</v>
      </c>
      <c r="N69" s="28">
        <v>50</v>
      </c>
      <c r="O69" s="28">
        <v>50</v>
      </c>
      <c r="P69" s="28">
        <v>40</v>
      </c>
      <c r="Q69" s="28">
        <v>38</v>
      </c>
      <c r="R69" s="28">
        <v>34</v>
      </c>
      <c r="S69" s="28">
        <v>34</v>
      </c>
      <c r="T69" s="28">
        <v>34</v>
      </c>
      <c r="U69" s="28">
        <v>34</v>
      </c>
      <c r="V69" s="28">
        <v>34</v>
      </c>
      <c r="W69" s="28">
        <v>34</v>
      </c>
      <c r="X69" s="28">
        <v>34</v>
      </c>
      <c r="Y69" s="28">
        <v>32</v>
      </c>
      <c r="Z69" s="28">
        <v>32</v>
      </c>
      <c r="AA69" s="28">
        <v>30</v>
      </c>
      <c r="AB69" s="28">
        <v>30</v>
      </c>
      <c r="AC69" s="28">
        <v>30</v>
      </c>
      <c r="AD69" s="28">
        <v>30</v>
      </c>
      <c r="AE69" s="28">
        <v>28</v>
      </c>
      <c r="AF69" s="28">
        <v>28</v>
      </c>
      <c r="AG69" s="28">
        <v>25</v>
      </c>
      <c r="AH69" s="28">
        <v>25</v>
      </c>
      <c r="AI69" s="28">
        <v>25</v>
      </c>
      <c r="AJ69" s="28">
        <v>25</v>
      </c>
      <c r="AK69" s="28">
        <v>25</v>
      </c>
      <c r="AL69" s="28">
        <v>25</v>
      </c>
      <c r="AM69" s="28">
        <v>25</v>
      </c>
      <c r="AN69" s="28">
        <v>24.5</v>
      </c>
      <c r="AO69" s="28">
        <v>23.5</v>
      </c>
      <c r="AP69" s="28">
        <v>22</v>
      </c>
      <c r="AQ69" s="28">
        <v>22</v>
      </c>
      <c r="AR69" s="28">
        <v>22</v>
      </c>
      <c r="AS69" s="28">
        <v>22</v>
      </c>
      <c r="AT69" s="28">
        <v>22</v>
      </c>
      <c r="AU69" s="28">
        <v>22</v>
      </c>
      <c r="AV69" s="28">
        <v>22</v>
      </c>
      <c r="AW69" s="28">
        <v>22</v>
      </c>
    </row>
    <row r="70" spans="2:49">
      <c r="B70" s="1" t="s">
        <v>196</v>
      </c>
      <c r="C70" s="1" t="s">
        <v>197</v>
      </c>
      <c r="D70" s="1" t="s">
        <v>6</v>
      </c>
      <c r="E70" s="1" t="s">
        <v>198</v>
      </c>
      <c r="F70" s="28">
        <v>38</v>
      </c>
      <c r="G70" s="28">
        <v>38</v>
      </c>
      <c r="H70" s="28">
        <v>38</v>
      </c>
      <c r="I70" s="28">
        <v>38</v>
      </c>
      <c r="J70" s="28">
        <v>46</v>
      </c>
      <c r="K70" s="28">
        <v>46</v>
      </c>
      <c r="L70" s="28">
        <v>46</v>
      </c>
      <c r="M70" s="28">
        <v>46</v>
      </c>
      <c r="N70" s="28">
        <v>46</v>
      </c>
      <c r="O70" s="28">
        <v>46</v>
      </c>
      <c r="P70" s="28">
        <v>46</v>
      </c>
      <c r="Q70" s="28">
        <v>46</v>
      </c>
      <c r="R70" s="28">
        <v>30</v>
      </c>
      <c r="S70" s="28">
        <v>27</v>
      </c>
      <c r="T70" s="28">
        <v>26</v>
      </c>
      <c r="U70" s="28">
        <v>25</v>
      </c>
      <c r="V70" s="28">
        <v>25</v>
      </c>
      <c r="W70" s="28">
        <v>25</v>
      </c>
      <c r="X70" s="28">
        <v>25</v>
      </c>
      <c r="Y70" s="28">
        <v>25</v>
      </c>
      <c r="Z70" s="28">
        <v>25</v>
      </c>
      <c r="AA70" s="28">
        <v>25</v>
      </c>
      <c r="AB70" s="28">
        <v>25</v>
      </c>
      <c r="AC70" s="28">
        <v>25</v>
      </c>
      <c r="AD70" s="28">
        <v>25</v>
      </c>
      <c r="AE70" s="28">
        <v>25</v>
      </c>
      <c r="AF70" s="28">
        <v>30</v>
      </c>
      <c r="AG70" s="28">
        <v>25</v>
      </c>
      <c r="AH70" s="28">
        <v>25</v>
      </c>
      <c r="AI70" s="28">
        <v>25</v>
      </c>
      <c r="AJ70" s="28">
        <v>25</v>
      </c>
      <c r="AK70" s="28">
        <v>29</v>
      </c>
      <c r="AL70" s="28">
        <v>29</v>
      </c>
      <c r="AM70" s="28">
        <v>29</v>
      </c>
      <c r="AN70" s="28">
        <v>28</v>
      </c>
      <c r="AO70" s="28">
        <v>27</v>
      </c>
      <c r="AP70" s="28">
        <v>27</v>
      </c>
      <c r="AQ70" s="28">
        <v>27</v>
      </c>
      <c r="AR70" s="28">
        <v>27</v>
      </c>
      <c r="AS70" s="28">
        <v>27</v>
      </c>
      <c r="AT70" s="28">
        <v>27</v>
      </c>
      <c r="AU70" s="28">
        <v>27</v>
      </c>
      <c r="AV70" s="28">
        <v>27</v>
      </c>
      <c r="AW70" s="28">
        <v>27</v>
      </c>
    </row>
    <row r="71" spans="2:49">
      <c r="B71" s="1" t="s">
        <v>199</v>
      </c>
      <c r="C71" s="1" t="s">
        <v>200</v>
      </c>
      <c r="D71" s="1" t="s">
        <v>9</v>
      </c>
      <c r="E71" s="1" t="s">
        <v>201</v>
      </c>
      <c r="F71" s="28" t="s">
        <v>8</v>
      </c>
      <c r="G71" s="28" t="s">
        <v>8</v>
      </c>
      <c r="H71" s="28" t="s">
        <v>8</v>
      </c>
      <c r="I71" s="28" t="s">
        <v>8</v>
      </c>
      <c r="J71" s="28" t="s">
        <v>8</v>
      </c>
      <c r="K71" s="28" t="s">
        <v>8</v>
      </c>
      <c r="L71" s="28" t="s">
        <v>8</v>
      </c>
      <c r="M71" s="28" t="s">
        <v>8</v>
      </c>
      <c r="N71" s="28" t="s">
        <v>8</v>
      </c>
      <c r="O71" s="28" t="s">
        <v>8</v>
      </c>
      <c r="P71" s="28" t="s">
        <v>8</v>
      </c>
      <c r="Q71" s="28" t="s">
        <v>8</v>
      </c>
      <c r="R71" s="28" t="s">
        <v>8</v>
      </c>
      <c r="S71" s="28" t="s">
        <v>8</v>
      </c>
      <c r="T71" s="28" t="s">
        <v>8</v>
      </c>
      <c r="U71" s="28" t="s">
        <v>8</v>
      </c>
      <c r="V71" s="28" t="s">
        <v>8</v>
      </c>
      <c r="W71" s="28" t="s">
        <v>8</v>
      </c>
      <c r="X71" s="28" t="s">
        <v>8</v>
      </c>
      <c r="Y71" s="28" t="s">
        <v>8</v>
      </c>
      <c r="Z71" s="28" t="s">
        <v>8</v>
      </c>
      <c r="AA71" s="28" t="s">
        <v>8</v>
      </c>
      <c r="AB71" s="28" t="s">
        <v>8</v>
      </c>
      <c r="AC71" s="28" t="s">
        <v>8</v>
      </c>
      <c r="AD71" s="28" t="s">
        <v>8</v>
      </c>
      <c r="AE71" s="28" t="s">
        <v>8</v>
      </c>
      <c r="AF71" s="28" t="s">
        <v>8</v>
      </c>
      <c r="AG71" s="28" t="s">
        <v>8</v>
      </c>
      <c r="AH71" s="28" t="s">
        <v>8</v>
      </c>
      <c r="AI71" s="28" t="s">
        <v>8</v>
      </c>
      <c r="AJ71" s="28" t="s">
        <v>8</v>
      </c>
      <c r="AK71" s="28" t="s">
        <v>8</v>
      </c>
      <c r="AL71" s="28">
        <v>25</v>
      </c>
      <c r="AM71" s="28">
        <v>25</v>
      </c>
      <c r="AN71" s="28">
        <v>25</v>
      </c>
      <c r="AO71" s="28">
        <v>23</v>
      </c>
      <c r="AP71" s="28">
        <v>26</v>
      </c>
      <c r="AQ71" s="28">
        <v>26</v>
      </c>
      <c r="AR71" s="28">
        <v>26</v>
      </c>
      <c r="AS71" s="28">
        <v>26</v>
      </c>
      <c r="AT71" s="28">
        <v>26</v>
      </c>
      <c r="AU71" s="28">
        <v>26</v>
      </c>
      <c r="AV71" s="28">
        <v>26</v>
      </c>
      <c r="AW71" s="28">
        <v>26</v>
      </c>
    </row>
    <row r="72" spans="2:49">
      <c r="B72" s="1" t="s">
        <v>202</v>
      </c>
      <c r="C72" s="1" t="s">
        <v>203</v>
      </c>
      <c r="D72" s="1" t="s">
        <v>37</v>
      </c>
      <c r="E72" s="1" t="s">
        <v>204</v>
      </c>
      <c r="F72" s="28">
        <v>20</v>
      </c>
      <c r="G72" s="28">
        <v>20</v>
      </c>
      <c r="H72" s="28">
        <v>20</v>
      </c>
      <c r="I72" s="28">
        <v>20</v>
      </c>
      <c r="J72" s="28">
        <v>20</v>
      </c>
      <c r="K72" s="28">
        <v>20</v>
      </c>
      <c r="L72" s="28">
        <v>20</v>
      </c>
      <c r="M72" s="28">
        <v>20</v>
      </c>
      <c r="N72" s="28">
        <v>20</v>
      </c>
      <c r="O72" s="28">
        <v>20</v>
      </c>
      <c r="P72" s="28">
        <v>25</v>
      </c>
      <c r="Q72" s="28">
        <v>25</v>
      </c>
      <c r="R72" s="28">
        <v>25</v>
      </c>
      <c r="S72" s="28">
        <v>25</v>
      </c>
      <c r="T72" s="28">
        <v>25</v>
      </c>
      <c r="U72" s="28">
        <v>25</v>
      </c>
      <c r="V72" s="28">
        <v>25</v>
      </c>
      <c r="W72" s="28">
        <v>32</v>
      </c>
      <c r="X72" s="28">
        <v>36.25</v>
      </c>
      <c r="Y72" s="28">
        <v>15</v>
      </c>
      <c r="Z72" s="28">
        <v>25</v>
      </c>
      <c r="AA72" s="28">
        <v>36.25</v>
      </c>
      <c r="AB72" s="28">
        <v>36.25</v>
      </c>
      <c r="AC72" s="28">
        <v>36.25</v>
      </c>
      <c r="AD72" s="28">
        <v>36.25</v>
      </c>
      <c r="AE72" s="28">
        <v>25</v>
      </c>
      <c r="AF72" s="28">
        <v>25</v>
      </c>
      <c r="AG72" s="28">
        <v>25</v>
      </c>
      <c r="AH72" s="28">
        <v>25</v>
      </c>
      <c r="AI72" s="28">
        <v>25</v>
      </c>
      <c r="AJ72" s="28">
        <v>25</v>
      </c>
      <c r="AK72" s="28">
        <v>24</v>
      </c>
      <c r="AL72" s="28">
        <v>23</v>
      </c>
      <c r="AM72" s="28">
        <v>22</v>
      </c>
      <c r="AN72" s="28">
        <v>22</v>
      </c>
      <c r="AO72" s="28">
        <v>22</v>
      </c>
      <c r="AP72" s="28">
        <v>22</v>
      </c>
      <c r="AQ72" s="28">
        <v>22</v>
      </c>
      <c r="AR72" s="28">
        <v>25</v>
      </c>
      <c r="AS72" s="28">
        <v>25</v>
      </c>
      <c r="AT72" s="28">
        <v>25</v>
      </c>
      <c r="AU72" s="28">
        <v>25</v>
      </c>
      <c r="AV72" s="28">
        <v>25</v>
      </c>
      <c r="AW72" s="28">
        <v>25</v>
      </c>
    </row>
    <row r="73" spans="2:49">
      <c r="B73" s="1" t="s">
        <v>205</v>
      </c>
      <c r="C73" s="1" t="s">
        <v>206</v>
      </c>
      <c r="D73" s="1" t="s">
        <v>9</v>
      </c>
      <c r="E73" s="1" t="s">
        <v>207</v>
      </c>
      <c r="F73" s="28">
        <v>39.700000000000003</v>
      </c>
      <c r="G73" s="28">
        <v>39.700000000000003</v>
      </c>
      <c r="H73" s="28">
        <v>32</v>
      </c>
      <c r="I73" s="28">
        <v>32</v>
      </c>
      <c r="J73" s="28">
        <v>40</v>
      </c>
      <c r="K73" s="28">
        <v>40</v>
      </c>
      <c r="L73" s="28">
        <v>40</v>
      </c>
      <c r="M73" s="28">
        <v>40</v>
      </c>
      <c r="N73" s="28">
        <v>40</v>
      </c>
      <c r="O73" s="28">
        <v>40</v>
      </c>
      <c r="P73" s="28">
        <v>40</v>
      </c>
      <c r="Q73" s="28">
        <v>40</v>
      </c>
      <c r="R73" s="28">
        <v>40</v>
      </c>
      <c r="S73" s="28">
        <v>40</v>
      </c>
      <c r="T73" s="28">
        <v>40</v>
      </c>
      <c r="U73" s="28">
        <v>40</v>
      </c>
      <c r="V73" s="28">
        <v>40</v>
      </c>
      <c r="W73" s="28">
        <v>40</v>
      </c>
      <c r="X73" s="28">
        <v>40</v>
      </c>
      <c r="Y73" s="28">
        <v>40</v>
      </c>
      <c r="Z73" s="28">
        <v>40</v>
      </c>
      <c r="AA73" s="28">
        <v>40</v>
      </c>
      <c r="AB73" s="28">
        <v>40</v>
      </c>
      <c r="AC73" s="28">
        <v>42</v>
      </c>
      <c r="AD73" s="28">
        <v>42</v>
      </c>
      <c r="AE73" s="28">
        <v>20</v>
      </c>
      <c r="AF73" s="28">
        <v>20</v>
      </c>
      <c r="AG73" s="28">
        <v>20</v>
      </c>
      <c r="AH73" s="28">
        <v>20</v>
      </c>
      <c r="AI73" s="28">
        <v>20</v>
      </c>
      <c r="AJ73" s="28">
        <v>20</v>
      </c>
      <c r="AK73" s="28">
        <v>20</v>
      </c>
      <c r="AL73" s="28">
        <v>25</v>
      </c>
      <c r="AM73" s="28">
        <v>25</v>
      </c>
      <c r="AN73" s="28">
        <v>25</v>
      </c>
      <c r="AO73" s="28">
        <v>22.5</v>
      </c>
      <c r="AP73" s="28">
        <v>22.5</v>
      </c>
      <c r="AQ73" s="28">
        <v>22.5</v>
      </c>
      <c r="AR73" s="28">
        <v>23</v>
      </c>
      <c r="AS73" s="28">
        <v>22.5</v>
      </c>
      <c r="AT73" s="28">
        <v>22.5</v>
      </c>
      <c r="AU73" s="28">
        <v>22.5</v>
      </c>
      <c r="AV73" s="28">
        <v>22.5</v>
      </c>
      <c r="AW73" s="28">
        <v>22.5</v>
      </c>
    </row>
    <row r="74" spans="2:49">
      <c r="B74" s="1" t="s">
        <v>208</v>
      </c>
      <c r="C74" s="1" t="s">
        <v>209</v>
      </c>
      <c r="D74" s="1" t="s">
        <v>9</v>
      </c>
      <c r="E74" s="1" t="s">
        <v>210</v>
      </c>
      <c r="F74" s="28" t="s">
        <v>8</v>
      </c>
      <c r="G74" s="28" t="s">
        <v>8</v>
      </c>
      <c r="H74" s="28" t="s">
        <v>8</v>
      </c>
      <c r="I74" s="28" t="s">
        <v>8</v>
      </c>
      <c r="J74" s="28" t="s">
        <v>8</v>
      </c>
      <c r="K74" s="28" t="s">
        <v>8</v>
      </c>
      <c r="L74" s="28" t="s">
        <v>8</v>
      </c>
      <c r="M74" s="28" t="s">
        <v>8</v>
      </c>
      <c r="N74" s="28" t="s">
        <v>8</v>
      </c>
      <c r="O74" s="28" t="s">
        <v>8</v>
      </c>
      <c r="P74" s="28" t="s">
        <v>8</v>
      </c>
      <c r="Q74" s="28" t="s">
        <v>8</v>
      </c>
      <c r="R74" s="28" t="s">
        <v>8</v>
      </c>
      <c r="S74" s="28" t="s">
        <v>8</v>
      </c>
      <c r="T74" s="28" t="s">
        <v>8</v>
      </c>
      <c r="U74" s="28" t="s">
        <v>8</v>
      </c>
      <c r="V74" s="28" t="s">
        <v>8</v>
      </c>
      <c r="W74" s="28" t="s">
        <v>8</v>
      </c>
      <c r="X74" s="28" t="s">
        <v>8</v>
      </c>
      <c r="Y74" s="28" t="s">
        <v>8</v>
      </c>
      <c r="Z74" s="28" t="s">
        <v>8</v>
      </c>
      <c r="AA74" s="28" t="s">
        <v>8</v>
      </c>
      <c r="AB74" s="28" t="s">
        <v>8</v>
      </c>
      <c r="AC74" s="28" t="s">
        <v>8</v>
      </c>
      <c r="AD74" s="28" t="s">
        <v>8</v>
      </c>
      <c r="AE74" s="28" t="s">
        <v>8</v>
      </c>
      <c r="AF74" s="28" t="s">
        <v>8</v>
      </c>
      <c r="AG74" s="28" t="s">
        <v>8</v>
      </c>
      <c r="AH74" s="28" t="s">
        <v>8</v>
      </c>
      <c r="AI74" s="28" t="s">
        <v>8</v>
      </c>
      <c r="AJ74" s="28" t="s">
        <v>8</v>
      </c>
      <c r="AK74" s="28" t="s">
        <v>8</v>
      </c>
      <c r="AL74" s="28" t="s">
        <v>8</v>
      </c>
      <c r="AM74" s="28">
        <v>30</v>
      </c>
      <c r="AN74" s="28">
        <v>30</v>
      </c>
      <c r="AO74" s="28">
        <v>30</v>
      </c>
      <c r="AP74" s="28">
        <v>30</v>
      </c>
      <c r="AQ74" s="28">
        <v>30</v>
      </c>
      <c r="AR74" s="28">
        <v>30</v>
      </c>
      <c r="AS74" s="28">
        <v>30</v>
      </c>
      <c r="AT74" s="28">
        <v>30</v>
      </c>
      <c r="AU74" s="28">
        <v>30</v>
      </c>
      <c r="AV74" s="28">
        <v>30</v>
      </c>
      <c r="AW74" s="28">
        <v>30</v>
      </c>
    </row>
    <row r="75" spans="2:49">
      <c r="B75" s="1" t="s">
        <v>211</v>
      </c>
      <c r="C75" s="1" t="s">
        <v>212</v>
      </c>
      <c r="D75" s="1" t="s">
        <v>9</v>
      </c>
      <c r="E75" s="1" t="s">
        <v>213</v>
      </c>
      <c r="F75" s="28" t="s">
        <v>8</v>
      </c>
      <c r="G75" s="28" t="s">
        <v>8</v>
      </c>
      <c r="H75" s="28" t="s">
        <v>8</v>
      </c>
      <c r="I75" s="28" t="s">
        <v>8</v>
      </c>
      <c r="J75" s="28" t="s">
        <v>8</v>
      </c>
      <c r="K75" s="28" t="s">
        <v>8</v>
      </c>
      <c r="L75" s="28" t="s">
        <v>8</v>
      </c>
      <c r="M75" s="28" t="s">
        <v>8</v>
      </c>
      <c r="N75" s="28" t="s">
        <v>8</v>
      </c>
      <c r="O75" s="28" t="s">
        <v>8</v>
      </c>
      <c r="P75" s="28" t="s">
        <v>8</v>
      </c>
      <c r="Q75" s="28" t="s">
        <v>8</v>
      </c>
      <c r="R75" s="28" t="s">
        <v>8</v>
      </c>
      <c r="S75" s="28" t="s">
        <v>8</v>
      </c>
      <c r="T75" s="28" t="s">
        <v>8</v>
      </c>
      <c r="U75" s="28" t="s">
        <v>8</v>
      </c>
      <c r="V75" s="28" t="s">
        <v>8</v>
      </c>
      <c r="W75" s="28" t="s">
        <v>8</v>
      </c>
      <c r="X75" s="28" t="s">
        <v>8</v>
      </c>
      <c r="Y75" s="28" t="s">
        <v>8</v>
      </c>
      <c r="Z75" s="28" t="s">
        <v>8</v>
      </c>
      <c r="AA75" s="28" t="s">
        <v>8</v>
      </c>
      <c r="AB75" s="28" t="s">
        <v>8</v>
      </c>
      <c r="AC75" s="28" t="s">
        <v>8</v>
      </c>
      <c r="AD75" s="28" t="s">
        <v>8</v>
      </c>
      <c r="AE75" s="28" t="s">
        <v>8</v>
      </c>
      <c r="AF75" s="28" t="s">
        <v>8</v>
      </c>
      <c r="AG75" s="28" t="s">
        <v>8</v>
      </c>
      <c r="AH75" s="28" t="s">
        <v>8</v>
      </c>
      <c r="AI75" s="28" t="s">
        <v>8</v>
      </c>
      <c r="AJ75" s="28" t="s">
        <v>8</v>
      </c>
      <c r="AK75" s="28" t="s">
        <v>8</v>
      </c>
      <c r="AL75" s="28" t="s">
        <v>8</v>
      </c>
      <c r="AM75" s="28" t="s">
        <v>8</v>
      </c>
      <c r="AN75" s="28" t="s">
        <v>8</v>
      </c>
      <c r="AO75" s="28" t="s">
        <v>8</v>
      </c>
      <c r="AP75" s="28" t="s">
        <v>8</v>
      </c>
      <c r="AQ75" s="28" t="s">
        <v>8</v>
      </c>
      <c r="AR75" s="28" t="s">
        <v>8</v>
      </c>
      <c r="AS75" s="28" t="s">
        <v>8</v>
      </c>
      <c r="AT75" s="28" t="s">
        <v>8</v>
      </c>
      <c r="AU75" s="28" t="s">
        <v>8</v>
      </c>
      <c r="AV75" s="28" t="s">
        <v>8</v>
      </c>
      <c r="AW75" s="28" t="s">
        <v>8</v>
      </c>
    </row>
    <row r="76" spans="2:49">
      <c r="B76" s="1" t="s">
        <v>214</v>
      </c>
      <c r="C76" s="1" t="s">
        <v>215</v>
      </c>
      <c r="D76" s="1" t="s">
        <v>21</v>
      </c>
      <c r="E76" s="1" t="s">
        <v>216</v>
      </c>
      <c r="F76" s="28">
        <v>33</v>
      </c>
      <c r="G76" s="28">
        <v>33</v>
      </c>
      <c r="H76" s="28">
        <v>33</v>
      </c>
      <c r="I76" s="28">
        <v>33</v>
      </c>
      <c r="J76" s="28">
        <v>35</v>
      </c>
      <c r="K76" s="28">
        <v>35</v>
      </c>
      <c r="L76" s="28">
        <v>35</v>
      </c>
      <c r="M76" s="28">
        <v>35</v>
      </c>
      <c r="N76" s="28">
        <v>35</v>
      </c>
      <c r="O76" s="28">
        <v>35</v>
      </c>
      <c r="P76" s="28">
        <v>35</v>
      </c>
      <c r="Q76" s="28">
        <v>35</v>
      </c>
      <c r="R76" s="28">
        <v>35</v>
      </c>
      <c r="S76" s="28">
        <v>35</v>
      </c>
      <c r="T76" s="28">
        <v>35</v>
      </c>
      <c r="U76" s="28">
        <v>35</v>
      </c>
      <c r="V76" s="28">
        <v>35</v>
      </c>
      <c r="W76" s="28">
        <v>35</v>
      </c>
      <c r="X76" s="28">
        <v>35</v>
      </c>
      <c r="Y76" s="28">
        <v>35</v>
      </c>
      <c r="Z76" s="28">
        <v>35</v>
      </c>
      <c r="AA76" s="28">
        <v>35</v>
      </c>
      <c r="AB76" s="28">
        <v>35</v>
      </c>
      <c r="AC76" s="28">
        <v>35</v>
      </c>
      <c r="AD76" s="28">
        <v>35</v>
      </c>
      <c r="AE76" s="28">
        <v>35</v>
      </c>
      <c r="AF76" s="28">
        <v>35</v>
      </c>
      <c r="AG76" s="28">
        <v>32.5</v>
      </c>
      <c r="AH76" s="28">
        <v>30</v>
      </c>
      <c r="AI76" s="28">
        <v>30</v>
      </c>
      <c r="AJ76" s="28">
        <v>30</v>
      </c>
      <c r="AK76" s="28">
        <v>30</v>
      </c>
      <c r="AL76" s="28">
        <v>30</v>
      </c>
      <c r="AM76" s="28">
        <v>30</v>
      </c>
      <c r="AN76" s="28">
        <v>30</v>
      </c>
      <c r="AO76" s="28">
        <v>28</v>
      </c>
      <c r="AP76" s="28">
        <v>25</v>
      </c>
      <c r="AQ76" s="28">
        <v>25</v>
      </c>
      <c r="AR76" s="28">
        <v>25</v>
      </c>
      <c r="AS76" s="28">
        <v>25</v>
      </c>
      <c r="AT76" s="28">
        <v>25</v>
      </c>
      <c r="AU76" s="28">
        <v>25</v>
      </c>
      <c r="AV76" s="28">
        <v>25</v>
      </c>
      <c r="AW76" s="28">
        <v>25</v>
      </c>
    </row>
    <row r="77" spans="2:49">
      <c r="B77" s="1" t="s">
        <v>217</v>
      </c>
      <c r="C77" s="1" t="s">
        <v>218</v>
      </c>
      <c r="D77" s="1" t="s">
        <v>21</v>
      </c>
      <c r="E77" s="1" t="s">
        <v>219</v>
      </c>
      <c r="F77" s="28" t="s">
        <v>8</v>
      </c>
      <c r="G77" s="28" t="s">
        <v>8</v>
      </c>
      <c r="H77" s="28" t="s">
        <v>8</v>
      </c>
      <c r="I77" s="28" t="s">
        <v>8</v>
      </c>
      <c r="J77" s="28" t="s">
        <v>8</v>
      </c>
      <c r="K77" s="28" t="s">
        <v>8</v>
      </c>
      <c r="L77" s="28" t="s">
        <v>8</v>
      </c>
      <c r="M77" s="28" t="s">
        <v>8</v>
      </c>
      <c r="N77" s="28" t="s">
        <v>8</v>
      </c>
      <c r="O77" s="28" t="s">
        <v>8</v>
      </c>
      <c r="P77" s="28" t="s">
        <v>8</v>
      </c>
      <c r="Q77" s="28" t="s">
        <v>8</v>
      </c>
      <c r="R77" s="28" t="s">
        <v>8</v>
      </c>
      <c r="S77" s="28">
        <v>35</v>
      </c>
      <c r="T77" s="28">
        <v>26</v>
      </c>
      <c r="U77" s="28">
        <v>26</v>
      </c>
      <c r="V77" s="28">
        <v>26</v>
      </c>
      <c r="W77" s="28">
        <v>26</v>
      </c>
      <c r="X77" s="28">
        <v>26</v>
      </c>
      <c r="Y77" s="28">
        <v>26</v>
      </c>
      <c r="Z77" s="28">
        <v>26</v>
      </c>
      <c r="AA77" s="28">
        <v>26</v>
      </c>
      <c r="AB77" s="28">
        <v>26</v>
      </c>
      <c r="AC77" s="28">
        <v>26</v>
      </c>
      <c r="AD77" s="28">
        <v>26</v>
      </c>
      <c r="AE77" s="28">
        <v>24</v>
      </c>
      <c r="AF77" s="28">
        <v>23</v>
      </c>
      <c r="AG77" s="28">
        <v>22</v>
      </c>
      <c r="AH77" s="28">
        <v>21</v>
      </c>
      <c r="AI77" s="28">
        <v>21</v>
      </c>
      <c r="AJ77" s="28">
        <v>21</v>
      </c>
      <c r="AK77" s="28">
        <v>21</v>
      </c>
      <c r="AL77" s="28">
        <v>21</v>
      </c>
      <c r="AM77" s="28">
        <v>21</v>
      </c>
      <c r="AN77" s="28">
        <v>21</v>
      </c>
      <c r="AO77" s="28">
        <v>20</v>
      </c>
      <c r="AP77" s="28">
        <v>20</v>
      </c>
      <c r="AQ77" s="28">
        <v>20</v>
      </c>
      <c r="AR77" s="28">
        <v>20</v>
      </c>
      <c r="AS77" s="28">
        <v>20</v>
      </c>
      <c r="AT77" s="28">
        <v>20</v>
      </c>
      <c r="AU77" s="28">
        <v>20</v>
      </c>
      <c r="AV77" s="28">
        <v>20</v>
      </c>
      <c r="AW77" s="28">
        <v>20</v>
      </c>
    </row>
    <row r="78" spans="2:49">
      <c r="B78" s="1" t="s">
        <v>220</v>
      </c>
      <c r="C78" s="1" t="s">
        <v>221</v>
      </c>
      <c r="D78" s="1" t="s">
        <v>9</v>
      </c>
      <c r="E78" s="1" t="s">
        <v>222</v>
      </c>
      <c r="F78" s="28" t="s">
        <v>8</v>
      </c>
      <c r="G78" s="28" t="s">
        <v>8</v>
      </c>
      <c r="H78" s="28" t="s">
        <v>8</v>
      </c>
      <c r="I78" s="28" t="s">
        <v>8</v>
      </c>
      <c r="J78" s="28" t="s">
        <v>8</v>
      </c>
      <c r="K78" s="28" t="s">
        <v>8</v>
      </c>
      <c r="L78" s="28" t="s">
        <v>8</v>
      </c>
      <c r="M78" s="28" t="s">
        <v>8</v>
      </c>
      <c r="N78" s="28" t="s">
        <v>8</v>
      </c>
      <c r="O78" s="28" t="s">
        <v>8</v>
      </c>
      <c r="P78" s="28" t="s">
        <v>8</v>
      </c>
      <c r="Q78" s="28" t="s">
        <v>8</v>
      </c>
      <c r="R78" s="28" t="s">
        <v>8</v>
      </c>
      <c r="S78" s="28">
        <v>50</v>
      </c>
      <c r="T78" s="28">
        <v>50</v>
      </c>
      <c r="U78" s="28">
        <v>50</v>
      </c>
      <c r="V78" s="28">
        <v>50</v>
      </c>
      <c r="W78" s="28">
        <v>50</v>
      </c>
      <c r="X78" s="28">
        <v>40</v>
      </c>
      <c r="Y78" s="28">
        <v>35</v>
      </c>
      <c r="Z78" s="28">
        <v>35</v>
      </c>
      <c r="AA78" s="28" t="s">
        <v>8</v>
      </c>
      <c r="AB78" s="28" t="s">
        <v>8</v>
      </c>
      <c r="AC78" s="28" t="s">
        <v>8</v>
      </c>
      <c r="AD78" s="28">
        <v>30</v>
      </c>
      <c r="AE78" s="28">
        <v>30</v>
      </c>
      <c r="AF78" s="28">
        <v>30</v>
      </c>
      <c r="AG78" s="28">
        <v>30</v>
      </c>
      <c r="AH78" s="28">
        <v>30</v>
      </c>
      <c r="AI78" s="28">
        <v>30</v>
      </c>
      <c r="AJ78" s="28">
        <v>30</v>
      </c>
      <c r="AK78" s="28">
        <v>30</v>
      </c>
      <c r="AL78" s="28">
        <v>30</v>
      </c>
      <c r="AM78" s="28">
        <v>30</v>
      </c>
      <c r="AN78" s="28">
        <v>30</v>
      </c>
      <c r="AO78" s="28">
        <v>30</v>
      </c>
      <c r="AP78" s="28">
        <v>30</v>
      </c>
      <c r="AQ78" s="28">
        <v>30</v>
      </c>
      <c r="AR78" s="28">
        <v>30</v>
      </c>
      <c r="AS78" s="28">
        <v>30</v>
      </c>
      <c r="AT78" s="28">
        <v>30</v>
      </c>
      <c r="AU78" s="28">
        <v>30</v>
      </c>
      <c r="AV78" s="28">
        <v>30</v>
      </c>
      <c r="AW78" s="28">
        <v>30</v>
      </c>
    </row>
    <row r="79" spans="2:49">
      <c r="B79" s="1" t="s">
        <v>223</v>
      </c>
      <c r="C79" s="1" t="s">
        <v>224</v>
      </c>
      <c r="D79" s="1" t="s">
        <v>21</v>
      </c>
      <c r="E79" s="1" t="s">
        <v>225</v>
      </c>
      <c r="F79" s="28" t="s">
        <v>8</v>
      </c>
      <c r="G79" s="28">
        <v>61.5</v>
      </c>
      <c r="H79" s="28">
        <v>61.75</v>
      </c>
      <c r="I79" s="28">
        <v>61.5</v>
      </c>
      <c r="J79" s="28">
        <v>61.75</v>
      </c>
      <c r="K79" s="28">
        <v>61.75</v>
      </c>
      <c r="L79" s="28">
        <v>51.5</v>
      </c>
      <c r="M79" s="28">
        <v>51.5</v>
      </c>
      <c r="N79" s="28">
        <v>51.5</v>
      </c>
      <c r="O79" s="28">
        <v>52.5</v>
      </c>
      <c r="P79" s="28">
        <v>44.5</v>
      </c>
      <c r="Q79" s="28">
        <v>42</v>
      </c>
      <c r="R79" s="28">
        <v>39</v>
      </c>
      <c r="S79" s="28">
        <v>25</v>
      </c>
      <c r="T79" s="28">
        <v>25</v>
      </c>
      <c r="U79" s="28">
        <v>25</v>
      </c>
      <c r="V79" s="28">
        <v>28</v>
      </c>
      <c r="W79" s="28">
        <v>28</v>
      </c>
      <c r="X79" s="28">
        <v>28</v>
      </c>
      <c r="Y79" s="28">
        <v>28</v>
      </c>
      <c r="Z79" s="28">
        <v>29</v>
      </c>
      <c r="AA79" s="28">
        <v>29</v>
      </c>
      <c r="AB79" s="28">
        <v>29</v>
      </c>
      <c r="AC79" s="28">
        <v>29</v>
      </c>
      <c r="AD79" s="28">
        <v>29</v>
      </c>
      <c r="AE79" s="28">
        <v>26</v>
      </c>
      <c r="AF79" s="28">
        <v>26</v>
      </c>
      <c r="AG79" s="28">
        <v>26</v>
      </c>
      <c r="AH79" s="28">
        <v>26</v>
      </c>
      <c r="AI79" s="28">
        <v>26</v>
      </c>
      <c r="AJ79" s="28">
        <v>26</v>
      </c>
      <c r="AK79" s="28">
        <v>26</v>
      </c>
      <c r="AL79" s="28">
        <v>24.5</v>
      </c>
      <c r="AM79" s="28">
        <v>24.5</v>
      </c>
      <c r="AN79" s="28">
        <v>20</v>
      </c>
      <c r="AO79" s="28">
        <v>20</v>
      </c>
      <c r="AP79" s="28">
        <v>20</v>
      </c>
      <c r="AQ79" s="28">
        <v>20</v>
      </c>
      <c r="AR79" s="28">
        <v>20</v>
      </c>
      <c r="AS79" s="28">
        <v>20</v>
      </c>
      <c r="AT79" s="28">
        <v>20</v>
      </c>
      <c r="AU79" s="28">
        <v>20</v>
      </c>
      <c r="AV79" s="28">
        <v>20</v>
      </c>
      <c r="AW79" s="28">
        <v>20</v>
      </c>
    </row>
    <row r="80" spans="2:49">
      <c r="B80" s="1" t="s">
        <v>226</v>
      </c>
      <c r="C80" s="1" t="s">
        <v>227</v>
      </c>
      <c r="D80" s="1" t="s">
        <v>43</v>
      </c>
      <c r="E80" s="1" t="s">
        <v>228</v>
      </c>
      <c r="F80" s="28">
        <v>37.5</v>
      </c>
      <c r="G80" s="28">
        <v>37.5</v>
      </c>
      <c r="H80" s="28">
        <v>37.5</v>
      </c>
      <c r="I80" s="28">
        <v>37.5</v>
      </c>
      <c r="J80" s="28">
        <v>37.5</v>
      </c>
      <c r="K80" s="28">
        <v>37.5</v>
      </c>
      <c r="L80" s="28">
        <v>37.5</v>
      </c>
      <c r="M80" s="28">
        <v>37.5</v>
      </c>
      <c r="N80" s="28">
        <v>37.5</v>
      </c>
      <c r="O80" s="28">
        <v>37.5</v>
      </c>
      <c r="P80" s="28">
        <v>37.5</v>
      </c>
      <c r="Q80" s="28">
        <v>37.5</v>
      </c>
      <c r="R80" s="28">
        <v>37.5</v>
      </c>
      <c r="S80" s="28">
        <v>35</v>
      </c>
      <c r="T80" s="28">
        <v>35</v>
      </c>
      <c r="U80" s="28">
        <v>35</v>
      </c>
      <c r="V80" s="28">
        <v>35</v>
      </c>
      <c r="W80" s="28">
        <v>35</v>
      </c>
      <c r="X80" s="28">
        <v>35</v>
      </c>
      <c r="Y80" s="28">
        <v>35</v>
      </c>
      <c r="Z80" s="28">
        <v>35</v>
      </c>
      <c r="AA80" s="28">
        <v>34</v>
      </c>
      <c r="AB80" s="28">
        <v>32</v>
      </c>
      <c r="AC80" s="28">
        <v>32</v>
      </c>
      <c r="AD80" s="28">
        <v>31</v>
      </c>
      <c r="AE80" s="28">
        <v>31</v>
      </c>
      <c r="AF80" s="28">
        <v>31</v>
      </c>
      <c r="AG80" s="28">
        <v>31</v>
      </c>
      <c r="AH80" s="28">
        <v>31</v>
      </c>
      <c r="AI80" s="28">
        <v>29</v>
      </c>
      <c r="AJ80" s="28">
        <v>28</v>
      </c>
      <c r="AK80" s="28">
        <v>28</v>
      </c>
      <c r="AL80" s="28">
        <v>28</v>
      </c>
      <c r="AM80" s="28">
        <v>20</v>
      </c>
      <c r="AN80" s="28">
        <v>20</v>
      </c>
      <c r="AO80" s="28">
        <v>20</v>
      </c>
      <c r="AP80" s="28">
        <v>20</v>
      </c>
      <c r="AQ80" s="28">
        <v>20</v>
      </c>
      <c r="AR80" s="28">
        <v>20</v>
      </c>
      <c r="AS80" s="28">
        <v>20</v>
      </c>
      <c r="AT80" s="28">
        <v>20</v>
      </c>
      <c r="AU80" s="28">
        <v>20</v>
      </c>
      <c r="AV80" s="28">
        <v>20</v>
      </c>
      <c r="AW80" s="28">
        <v>20</v>
      </c>
    </row>
    <row r="81" spans="2:49">
      <c r="B81" s="1" t="s">
        <v>229</v>
      </c>
      <c r="C81" s="1" t="s">
        <v>230</v>
      </c>
      <c r="D81" s="1" t="s">
        <v>37</v>
      </c>
      <c r="E81" s="1" t="s">
        <v>231</v>
      </c>
      <c r="F81" s="28" t="s">
        <v>8</v>
      </c>
      <c r="G81" s="28" t="s">
        <v>8</v>
      </c>
      <c r="H81" s="28" t="s">
        <v>8</v>
      </c>
      <c r="I81" s="28" t="s">
        <v>8</v>
      </c>
      <c r="J81" s="28" t="s">
        <v>8</v>
      </c>
      <c r="K81" s="28" t="s">
        <v>8</v>
      </c>
      <c r="L81" s="28" t="s">
        <v>8</v>
      </c>
      <c r="M81" s="28" t="s">
        <v>8</v>
      </c>
      <c r="N81" s="28" t="s">
        <v>8</v>
      </c>
      <c r="O81" s="28" t="s">
        <v>8</v>
      </c>
      <c r="P81" s="28" t="s">
        <v>8</v>
      </c>
      <c r="Q81" s="28" t="s">
        <v>8</v>
      </c>
      <c r="R81" s="28" t="s">
        <v>8</v>
      </c>
      <c r="S81" s="28" t="s">
        <v>8</v>
      </c>
      <c r="T81" s="28" t="s">
        <v>8</v>
      </c>
      <c r="U81" s="28" t="s">
        <v>8</v>
      </c>
      <c r="V81" s="28" t="s">
        <v>8</v>
      </c>
      <c r="W81" s="28" t="s">
        <v>8</v>
      </c>
      <c r="X81" s="28" t="s">
        <v>8</v>
      </c>
      <c r="Y81" s="28" t="s">
        <v>8</v>
      </c>
      <c r="Z81" s="28" t="s">
        <v>8</v>
      </c>
      <c r="AA81" s="28" t="s">
        <v>8</v>
      </c>
      <c r="AB81" s="28" t="s">
        <v>8</v>
      </c>
      <c r="AC81" s="28" t="s">
        <v>8</v>
      </c>
      <c r="AD81" s="28" t="s">
        <v>8</v>
      </c>
      <c r="AE81" s="28" t="s">
        <v>8</v>
      </c>
      <c r="AF81" s="28" t="s">
        <v>8</v>
      </c>
      <c r="AG81" s="28" t="s">
        <v>8</v>
      </c>
      <c r="AH81" s="28">
        <v>26</v>
      </c>
      <c r="AI81" s="28">
        <v>26</v>
      </c>
      <c r="AJ81" s="28">
        <v>26</v>
      </c>
      <c r="AK81" s="28">
        <v>26</v>
      </c>
      <c r="AL81" s="28">
        <v>26</v>
      </c>
      <c r="AM81" s="28">
        <v>26</v>
      </c>
      <c r="AN81" s="28">
        <v>26</v>
      </c>
      <c r="AO81" s="28">
        <v>26</v>
      </c>
      <c r="AP81" s="28">
        <v>26</v>
      </c>
      <c r="AQ81" s="28">
        <v>26</v>
      </c>
      <c r="AR81" s="28">
        <v>26</v>
      </c>
      <c r="AS81" s="28">
        <v>26</v>
      </c>
      <c r="AT81" s="28">
        <v>26</v>
      </c>
      <c r="AU81" s="28">
        <v>26</v>
      </c>
      <c r="AV81" s="28">
        <v>26</v>
      </c>
      <c r="AW81" s="28">
        <v>26</v>
      </c>
    </row>
    <row r="82" spans="2:49">
      <c r="B82" s="1" t="s">
        <v>232</v>
      </c>
      <c r="C82" s="1" t="s">
        <v>233</v>
      </c>
      <c r="D82" s="1" t="s">
        <v>21</v>
      </c>
      <c r="E82" s="1" t="s">
        <v>234</v>
      </c>
      <c r="F82" s="28">
        <v>50</v>
      </c>
      <c r="G82" s="28">
        <v>50</v>
      </c>
      <c r="H82" s="28">
        <v>50</v>
      </c>
      <c r="I82" s="28">
        <v>50</v>
      </c>
      <c r="J82" s="28">
        <v>50</v>
      </c>
      <c r="K82" s="28">
        <v>50</v>
      </c>
      <c r="L82" s="28">
        <v>45</v>
      </c>
      <c r="M82" s="28">
        <v>45</v>
      </c>
      <c r="N82" s="28">
        <v>42</v>
      </c>
      <c r="O82" s="28">
        <v>42</v>
      </c>
      <c r="P82" s="28">
        <v>42</v>
      </c>
      <c r="Q82" s="28">
        <v>42</v>
      </c>
      <c r="R82" s="28">
        <v>34</v>
      </c>
      <c r="S82" s="28">
        <v>33.33</v>
      </c>
      <c r="T82" s="28">
        <v>33.33</v>
      </c>
      <c r="U82" s="28">
        <v>36.659999999999997</v>
      </c>
      <c r="V82" s="28">
        <v>36.659999999999997</v>
      </c>
      <c r="W82" s="28">
        <v>36.659999999999997</v>
      </c>
      <c r="X82" s="28">
        <v>41.66</v>
      </c>
      <c r="Y82" s="28">
        <v>40</v>
      </c>
      <c r="Z82" s="28">
        <v>37.76</v>
      </c>
      <c r="AA82" s="28">
        <v>36.43</v>
      </c>
      <c r="AB82" s="28">
        <v>35.43</v>
      </c>
      <c r="AC82" s="28">
        <v>35.429789999999997</v>
      </c>
      <c r="AD82" s="28">
        <v>35.429789999999997</v>
      </c>
      <c r="AE82" s="28">
        <v>34.950000000000003</v>
      </c>
      <c r="AF82" s="28">
        <v>34.43</v>
      </c>
      <c r="AG82" s="28">
        <v>34.42989</v>
      </c>
      <c r="AH82" s="28">
        <v>34.42989</v>
      </c>
      <c r="AI82" s="28">
        <v>34.42989</v>
      </c>
      <c r="AJ82" s="28">
        <v>34.42989</v>
      </c>
      <c r="AK82" s="28">
        <v>36.09639</v>
      </c>
      <c r="AL82" s="28">
        <v>36.09639</v>
      </c>
      <c r="AM82" s="28">
        <v>37.996200000000002</v>
      </c>
      <c r="AN82" s="28">
        <v>37.996200000000002</v>
      </c>
      <c r="AO82" s="28">
        <v>37.996200000000002</v>
      </c>
      <c r="AP82" s="28">
        <v>34.43</v>
      </c>
      <c r="AQ82" s="28">
        <v>34.43</v>
      </c>
      <c r="AR82" s="28">
        <v>34.43</v>
      </c>
      <c r="AS82" s="28">
        <v>34.43</v>
      </c>
      <c r="AT82" s="28">
        <v>32.020000000000003</v>
      </c>
      <c r="AU82" s="28">
        <v>28.407499999999999</v>
      </c>
      <c r="AV82" s="28">
        <v>25.824999999999999</v>
      </c>
      <c r="AW82" s="28">
        <v>25.824999999999999</v>
      </c>
    </row>
    <row r="83" spans="2:49">
      <c r="B83" s="1" t="s">
        <v>235</v>
      </c>
      <c r="C83" s="1" t="s">
        <v>236</v>
      </c>
      <c r="D83" s="1" t="s">
        <v>21</v>
      </c>
      <c r="E83" s="1" t="s">
        <v>237</v>
      </c>
      <c r="F83" s="28" t="s">
        <v>8</v>
      </c>
      <c r="G83" s="28" t="s">
        <v>8</v>
      </c>
      <c r="H83" s="28" t="s">
        <v>8</v>
      </c>
      <c r="I83" s="28" t="s">
        <v>8</v>
      </c>
      <c r="J83" s="28" t="s">
        <v>8</v>
      </c>
      <c r="K83" s="28" t="s">
        <v>8</v>
      </c>
      <c r="L83" s="28" t="s">
        <v>8</v>
      </c>
      <c r="M83" s="28" t="s">
        <v>8</v>
      </c>
      <c r="N83" s="28" t="s">
        <v>8</v>
      </c>
      <c r="O83" s="28" t="s">
        <v>8</v>
      </c>
      <c r="P83" s="28" t="s">
        <v>8</v>
      </c>
      <c r="Q83" s="28" t="s">
        <v>8</v>
      </c>
      <c r="R83" s="28" t="s">
        <v>8</v>
      </c>
      <c r="S83" s="28" t="s">
        <v>8</v>
      </c>
      <c r="T83" s="28" t="s">
        <v>8</v>
      </c>
      <c r="U83" s="28" t="s">
        <v>8</v>
      </c>
      <c r="V83" s="28" t="s">
        <v>8</v>
      </c>
      <c r="W83" s="28" t="s">
        <v>8</v>
      </c>
      <c r="X83" s="28" t="s">
        <v>8</v>
      </c>
      <c r="Y83" s="28" t="s">
        <v>8</v>
      </c>
      <c r="Z83" s="28">
        <v>20</v>
      </c>
      <c r="AA83" s="28">
        <v>20</v>
      </c>
      <c r="AB83" s="28">
        <v>20</v>
      </c>
      <c r="AC83" s="28">
        <v>20</v>
      </c>
      <c r="AD83" s="28">
        <v>20</v>
      </c>
      <c r="AE83" s="28">
        <v>20</v>
      </c>
      <c r="AF83" s="28">
        <v>18</v>
      </c>
      <c r="AG83" s="28">
        <v>18</v>
      </c>
      <c r="AH83" s="28">
        <v>18</v>
      </c>
      <c r="AI83" s="28">
        <v>18</v>
      </c>
      <c r="AJ83" s="28">
        <v>18</v>
      </c>
      <c r="AK83" s="28">
        <v>18</v>
      </c>
      <c r="AL83" s="28">
        <v>18</v>
      </c>
      <c r="AM83" s="28">
        <v>18</v>
      </c>
      <c r="AN83" s="28">
        <v>18</v>
      </c>
      <c r="AO83" s="28">
        <v>18</v>
      </c>
      <c r="AP83" s="28">
        <v>18</v>
      </c>
      <c r="AQ83" s="28">
        <v>18</v>
      </c>
      <c r="AR83" s="28">
        <v>18</v>
      </c>
      <c r="AS83" s="28">
        <v>18</v>
      </c>
      <c r="AT83" s="28">
        <v>18</v>
      </c>
      <c r="AU83" s="28">
        <v>18</v>
      </c>
      <c r="AV83" s="28">
        <v>18</v>
      </c>
      <c r="AW83" s="28">
        <v>18</v>
      </c>
    </row>
    <row r="84" spans="2:49">
      <c r="B84" s="1" t="s">
        <v>238</v>
      </c>
      <c r="C84" s="1" t="s">
        <v>239</v>
      </c>
      <c r="D84" s="1" t="s">
        <v>43</v>
      </c>
      <c r="E84" s="1" t="s">
        <v>240</v>
      </c>
      <c r="F84" s="28" t="s">
        <v>8</v>
      </c>
      <c r="G84" s="28" t="s">
        <v>8</v>
      </c>
      <c r="H84" s="28" t="s">
        <v>8</v>
      </c>
      <c r="I84" s="28" t="s">
        <v>8</v>
      </c>
      <c r="J84" s="28" t="s">
        <v>8</v>
      </c>
      <c r="K84" s="28" t="s">
        <v>8</v>
      </c>
      <c r="L84" s="28" t="s">
        <v>8</v>
      </c>
      <c r="M84" s="28" t="s">
        <v>8</v>
      </c>
      <c r="N84" s="28" t="s">
        <v>8</v>
      </c>
      <c r="O84" s="28" t="s">
        <v>8</v>
      </c>
      <c r="P84" s="28" t="s">
        <v>8</v>
      </c>
      <c r="Q84" s="28" t="s">
        <v>8</v>
      </c>
      <c r="R84" s="28" t="s">
        <v>8</v>
      </c>
      <c r="S84" s="28" t="s">
        <v>8</v>
      </c>
      <c r="T84" s="28" t="s">
        <v>8</v>
      </c>
      <c r="U84" s="28" t="s">
        <v>8</v>
      </c>
      <c r="V84" s="28" t="s">
        <v>8</v>
      </c>
      <c r="W84" s="28" t="s">
        <v>8</v>
      </c>
      <c r="X84" s="28" t="s">
        <v>8</v>
      </c>
      <c r="Y84" s="28" t="s">
        <v>8</v>
      </c>
      <c r="Z84" s="28" t="s">
        <v>8</v>
      </c>
      <c r="AA84" s="28" t="s">
        <v>8</v>
      </c>
      <c r="AB84" s="28" t="s">
        <v>8</v>
      </c>
      <c r="AC84" s="28" t="s">
        <v>8</v>
      </c>
      <c r="AD84" s="28" t="s">
        <v>8</v>
      </c>
      <c r="AE84" s="28" t="s">
        <v>8</v>
      </c>
      <c r="AF84" s="28" t="s">
        <v>8</v>
      </c>
      <c r="AG84" s="28" t="s">
        <v>8</v>
      </c>
      <c r="AH84" s="28" t="s">
        <v>8</v>
      </c>
      <c r="AI84" s="28" t="s">
        <v>8</v>
      </c>
      <c r="AJ84" s="28" t="s">
        <v>8</v>
      </c>
      <c r="AK84" s="28">
        <v>21</v>
      </c>
      <c r="AL84" s="28">
        <v>21</v>
      </c>
      <c r="AM84" s="28">
        <v>21</v>
      </c>
      <c r="AN84" s="28">
        <v>21</v>
      </c>
      <c r="AO84" s="28">
        <v>21</v>
      </c>
      <c r="AP84" s="28">
        <v>21</v>
      </c>
      <c r="AQ84" s="28">
        <v>21</v>
      </c>
      <c r="AR84" s="28">
        <v>21</v>
      </c>
      <c r="AS84" s="28">
        <v>21</v>
      </c>
      <c r="AT84" s="28">
        <v>30</v>
      </c>
      <c r="AU84" s="28">
        <v>30</v>
      </c>
      <c r="AV84" s="28">
        <v>30</v>
      </c>
      <c r="AW84" s="28">
        <v>30</v>
      </c>
    </row>
    <row r="85" spans="2:49">
      <c r="B85" s="1" t="s">
        <v>241</v>
      </c>
      <c r="C85" s="1" t="s">
        <v>242</v>
      </c>
      <c r="D85" s="1" t="s">
        <v>9</v>
      </c>
      <c r="E85" s="1" t="s">
        <v>243</v>
      </c>
      <c r="F85" s="28" t="s">
        <v>8</v>
      </c>
      <c r="G85" s="28" t="s">
        <v>8</v>
      </c>
      <c r="H85" s="28" t="s">
        <v>8</v>
      </c>
      <c r="I85" s="28" t="s">
        <v>8</v>
      </c>
      <c r="J85" s="28" t="s">
        <v>8</v>
      </c>
      <c r="K85" s="28" t="s">
        <v>8</v>
      </c>
      <c r="L85" s="28" t="s">
        <v>8</v>
      </c>
      <c r="M85" s="28" t="s">
        <v>8</v>
      </c>
      <c r="N85" s="28">
        <v>50</v>
      </c>
      <c r="O85" s="28">
        <v>50</v>
      </c>
      <c r="P85" s="28">
        <v>50</v>
      </c>
      <c r="Q85" s="28">
        <v>40</v>
      </c>
      <c r="R85" s="28">
        <v>40</v>
      </c>
      <c r="S85" s="28">
        <v>40</v>
      </c>
      <c r="T85" s="28">
        <v>40</v>
      </c>
      <c r="U85" s="28">
        <v>40</v>
      </c>
      <c r="V85" s="28">
        <v>40</v>
      </c>
      <c r="W85" s="28">
        <v>40</v>
      </c>
      <c r="X85" s="28">
        <v>40</v>
      </c>
      <c r="Y85" s="28">
        <v>40</v>
      </c>
      <c r="Z85" s="28">
        <v>35</v>
      </c>
      <c r="AA85" s="28">
        <v>35</v>
      </c>
      <c r="AB85" s="28">
        <v>35</v>
      </c>
      <c r="AC85" s="28">
        <v>35</v>
      </c>
      <c r="AD85" s="28">
        <v>35</v>
      </c>
      <c r="AE85" s="28">
        <v>35</v>
      </c>
      <c r="AF85" s="28">
        <v>35</v>
      </c>
      <c r="AG85" s="28">
        <v>35</v>
      </c>
      <c r="AH85" s="28">
        <v>35</v>
      </c>
      <c r="AI85" s="28">
        <v>35</v>
      </c>
      <c r="AJ85" s="28">
        <v>35</v>
      </c>
      <c r="AK85" s="28">
        <v>35</v>
      </c>
      <c r="AL85" s="28">
        <v>35</v>
      </c>
      <c r="AM85" s="28">
        <v>30</v>
      </c>
      <c r="AN85" s="28">
        <v>30</v>
      </c>
      <c r="AO85" s="28">
        <v>30</v>
      </c>
      <c r="AP85" s="28">
        <v>30</v>
      </c>
      <c r="AQ85" s="28">
        <v>30</v>
      </c>
      <c r="AR85" s="28">
        <v>30</v>
      </c>
      <c r="AS85" s="28">
        <v>30</v>
      </c>
      <c r="AT85" s="28">
        <v>30</v>
      </c>
      <c r="AU85" s="28">
        <v>30</v>
      </c>
      <c r="AV85" s="28">
        <v>30</v>
      </c>
      <c r="AW85" s="28">
        <v>30</v>
      </c>
    </row>
    <row r="86" spans="2:49">
      <c r="B86" s="1" t="s">
        <v>244</v>
      </c>
      <c r="C86" s="1" t="s">
        <v>245</v>
      </c>
      <c r="D86" s="1" t="s">
        <v>21</v>
      </c>
      <c r="E86" s="1" t="s">
        <v>246</v>
      </c>
      <c r="F86" s="28">
        <v>52</v>
      </c>
      <c r="G86" s="28">
        <v>52</v>
      </c>
      <c r="H86" s="28">
        <v>52</v>
      </c>
      <c r="I86" s="28">
        <v>50</v>
      </c>
      <c r="J86" s="28">
        <v>45</v>
      </c>
      <c r="K86" s="28">
        <v>40</v>
      </c>
      <c r="L86" s="28">
        <v>35</v>
      </c>
      <c r="M86" s="28">
        <v>35</v>
      </c>
      <c r="N86" s="28">
        <v>35</v>
      </c>
      <c r="O86" s="28">
        <v>35</v>
      </c>
      <c r="P86" s="28">
        <v>34</v>
      </c>
      <c r="Q86" s="28">
        <v>33</v>
      </c>
      <c r="R86" s="28">
        <v>33</v>
      </c>
      <c r="S86" s="28">
        <v>33</v>
      </c>
      <c r="T86" s="28">
        <v>33</v>
      </c>
      <c r="U86" s="28">
        <v>33</v>
      </c>
      <c r="V86" s="28">
        <v>33</v>
      </c>
      <c r="W86" s="28">
        <v>31</v>
      </c>
      <c r="X86" s="28">
        <v>31</v>
      </c>
      <c r="Y86" s="28">
        <v>30</v>
      </c>
      <c r="Z86" s="28">
        <v>30</v>
      </c>
      <c r="AA86" s="28">
        <v>30</v>
      </c>
      <c r="AB86" s="28">
        <v>30</v>
      </c>
      <c r="AC86" s="28">
        <v>30</v>
      </c>
      <c r="AD86" s="28">
        <v>30</v>
      </c>
      <c r="AE86" s="28">
        <v>30</v>
      </c>
      <c r="AF86" s="28">
        <v>30</v>
      </c>
      <c r="AG86" s="28">
        <v>30</v>
      </c>
      <c r="AH86" s="28">
        <v>28</v>
      </c>
      <c r="AI86" s="28">
        <v>28</v>
      </c>
      <c r="AJ86" s="28">
        <v>28</v>
      </c>
      <c r="AK86" s="28">
        <v>26</v>
      </c>
      <c r="AL86" s="28">
        <v>24</v>
      </c>
      <c r="AM86" s="28">
        <v>23</v>
      </c>
      <c r="AN86" s="28">
        <v>21</v>
      </c>
      <c r="AO86" s="28">
        <v>20</v>
      </c>
      <c r="AP86" s="28">
        <v>20</v>
      </c>
      <c r="AQ86" s="28">
        <v>19</v>
      </c>
      <c r="AR86" s="28">
        <v>19</v>
      </c>
      <c r="AS86" s="28">
        <v>19</v>
      </c>
      <c r="AT86" s="28">
        <v>19</v>
      </c>
      <c r="AU86" s="28">
        <v>19</v>
      </c>
      <c r="AV86" s="28">
        <v>19</v>
      </c>
      <c r="AW86" s="28">
        <v>25</v>
      </c>
    </row>
    <row r="87" spans="2:49">
      <c r="B87" s="1" t="s">
        <v>247</v>
      </c>
      <c r="C87" s="1" t="s">
        <v>248</v>
      </c>
      <c r="D87" s="1" t="s">
        <v>11</v>
      </c>
      <c r="E87" s="1" t="s">
        <v>249</v>
      </c>
      <c r="F87" s="28" t="s">
        <v>8</v>
      </c>
      <c r="G87" s="28" t="s">
        <v>8</v>
      </c>
      <c r="H87" s="28" t="s">
        <v>8</v>
      </c>
      <c r="I87" s="28" t="s">
        <v>8</v>
      </c>
      <c r="J87" s="28" t="s">
        <v>8</v>
      </c>
      <c r="K87" s="28" t="s">
        <v>8</v>
      </c>
      <c r="L87" s="28" t="s">
        <v>8</v>
      </c>
      <c r="M87" s="28" t="s">
        <v>8</v>
      </c>
      <c r="N87" s="28" t="s">
        <v>8</v>
      </c>
      <c r="O87" s="28" t="s">
        <v>8</v>
      </c>
      <c r="P87" s="28" t="s">
        <v>8</v>
      </c>
      <c r="Q87" s="28" t="s">
        <v>8</v>
      </c>
      <c r="R87" s="28" t="s">
        <v>8</v>
      </c>
      <c r="S87" s="28" t="s">
        <v>8</v>
      </c>
      <c r="T87" s="28" t="s">
        <v>8</v>
      </c>
      <c r="U87" s="28" t="s">
        <v>8</v>
      </c>
      <c r="V87" s="28" t="s">
        <v>8</v>
      </c>
      <c r="W87" s="28" t="s">
        <v>8</v>
      </c>
      <c r="X87" s="28" t="s">
        <v>8</v>
      </c>
      <c r="Y87" s="28" t="s">
        <v>8</v>
      </c>
      <c r="Z87" s="28">
        <v>20</v>
      </c>
      <c r="AA87" s="28">
        <v>20</v>
      </c>
      <c r="AB87" s="28">
        <v>20</v>
      </c>
      <c r="AC87" s="28">
        <v>20</v>
      </c>
      <c r="AD87" s="28">
        <v>20</v>
      </c>
      <c r="AE87" s="28">
        <v>20</v>
      </c>
      <c r="AF87" s="28">
        <v>20</v>
      </c>
      <c r="AG87" s="28">
        <v>20</v>
      </c>
      <c r="AH87" s="28">
        <v>15</v>
      </c>
      <c r="AI87" s="28">
        <v>15</v>
      </c>
      <c r="AJ87" s="28">
        <v>15</v>
      </c>
      <c r="AK87" s="28">
        <v>15</v>
      </c>
      <c r="AL87" s="28">
        <v>15</v>
      </c>
      <c r="AM87" s="28">
        <v>15</v>
      </c>
      <c r="AN87" s="28">
        <v>15</v>
      </c>
      <c r="AO87" s="28">
        <v>15</v>
      </c>
      <c r="AP87" s="28">
        <v>15</v>
      </c>
      <c r="AQ87" s="28">
        <v>15</v>
      </c>
      <c r="AR87" s="28">
        <v>15</v>
      </c>
      <c r="AS87" s="28">
        <v>15</v>
      </c>
      <c r="AT87" s="28">
        <v>15</v>
      </c>
      <c r="AU87" s="28">
        <v>15</v>
      </c>
      <c r="AV87" s="28">
        <v>15</v>
      </c>
      <c r="AW87" s="28">
        <v>15</v>
      </c>
    </row>
    <row r="88" spans="2:49" ht="16">
      <c r="B88" s="1" t="s">
        <v>250</v>
      </c>
      <c r="C88" s="1" t="s">
        <v>251</v>
      </c>
      <c r="D88" s="1" t="s">
        <v>21</v>
      </c>
      <c r="E88" t="s">
        <v>787</v>
      </c>
      <c r="F88" s="28">
        <v>20</v>
      </c>
      <c r="G88" s="28">
        <v>20</v>
      </c>
      <c r="H88" s="28">
        <v>20</v>
      </c>
      <c r="I88" s="28">
        <v>20</v>
      </c>
      <c r="J88" s="28">
        <v>20</v>
      </c>
      <c r="K88" s="28">
        <v>20</v>
      </c>
      <c r="L88" s="28">
        <v>20</v>
      </c>
      <c r="M88" s="28">
        <v>20</v>
      </c>
      <c r="N88" s="28">
        <v>20</v>
      </c>
      <c r="O88" s="28">
        <v>20</v>
      </c>
      <c r="P88" s="28">
        <v>20</v>
      </c>
      <c r="Q88" s="28">
        <v>20</v>
      </c>
      <c r="R88" s="28">
        <v>20</v>
      </c>
      <c r="S88" s="28">
        <v>20</v>
      </c>
      <c r="T88" s="28">
        <v>20</v>
      </c>
      <c r="U88" s="28">
        <v>20</v>
      </c>
      <c r="V88" s="28">
        <v>20</v>
      </c>
      <c r="W88" s="28">
        <v>20</v>
      </c>
      <c r="X88" s="28">
        <v>20</v>
      </c>
      <c r="Y88" s="28" t="s">
        <v>8</v>
      </c>
      <c r="Z88" s="28">
        <v>20</v>
      </c>
      <c r="AA88" s="28">
        <v>20</v>
      </c>
      <c r="AB88" s="28">
        <v>20</v>
      </c>
      <c r="AC88" s="28">
        <v>0</v>
      </c>
      <c r="AD88" s="28">
        <v>0</v>
      </c>
      <c r="AE88" s="28">
        <v>0</v>
      </c>
      <c r="AF88" s="28">
        <v>0</v>
      </c>
      <c r="AG88" s="28">
        <v>0</v>
      </c>
      <c r="AH88" s="28">
        <v>0</v>
      </c>
      <c r="AI88" s="28">
        <v>0</v>
      </c>
      <c r="AJ88" s="28">
        <v>0</v>
      </c>
      <c r="AK88" s="28">
        <v>0</v>
      </c>
      <c r="AL88" s="28">
        <v>0</v>
      </c>
      <c r="AM88" s="28">
        <v>0</v>
      </c>
      <c r="AN88" s="28">
        <v>0</v>
      </c>
      <c r="AO88" s="28">
        <v>0</v>
      </c>
      <c r="AP88" s="28">
        <v>0</v>
      </c>
      <c r="AQ88" s="28">
        <v>0</v>
      </c>
      <c r="AR88" s="28">
        <v>0</v>
      </c>
      <c r="AS88" s="28">
        <v>0</v>
      </c>
      <c r="AT88" s="28">
        <v>0</v>
      </c>
      <c r="AU88" s="28">
        <v>0</v>
      </c>
      <c r="AV88" s="28">
        <v>0</v>
      </c>
      <c r="AW88" s="28">
        <v>0</v>
      </c>
    </row>
    <row r="89" spans="2:49">
      <c r="B89" s="1" t="s">
        <v>252</v>
      </c>
      <c r="C89" s="1" t="s">
        <v>253</v>
      </c>
      <c r="D89" s="1" t="s">
        <v>9</v>
      </c>
      <c r="E89" s="1" t="s">
        <v>254</v>
      </c>
      <c r="F89" s="28">
        <v>60</v>
      </c>
      <c r="G89" s="28" t="s">
        <v>8</v>
      </c>
      <c r="H89" s="28" t="s">
        <v>8</v>
      </c>
      <c r="I89" s="28" t="s">
        <v>8</v>
      </c>
      <c r="J89" s="28" t="s">
        <v>8</v>
      </c>
      <c r="K89" s="28" t="s">
        <v>8</v>
      </c>
      <c r="L89" s="28" t="s">
        <v>8</v>
      </c>
      <c r="M89" s="28" t="s">
        <v>8</v>
      </c>
      <c r="N89" s="28" t="s">
        <v>8</v>
      </c>
      <c r="O89" s="28" t="s">
        <v>8</v>
      </c>
      <c r="P89" s="28">
        <v>50</v>
      </c>
      <c r="Q89" s="28">
        <v>50</v>
      </c>
      <c r="R89" s="28">
        <v>50</v>
      </c>
      <c r="S89" s="28">
        <v>45</v>
      </c>
      <c r="T89" s="28">
        <v>45</v>
      </c>
      <c r="U89" s="28">
        <v>35</v>
      </c>
      <c r="V89" s="28">
        <v>35</v>
      </c>
      <c r="W89" s="28">
        <v>35</v>
      </c>
      <c r="X89" s="28">
        <v>35</v>
      </c>
      <c r="Y89" s="28">
        <v>35</v>
      </c>
      <c r="Z89" s="28">
        <v>35</v>
      </c>
      <c r="AA89" s="28">
        <v>35</v>
      </c>
      <c r="AB89" s="28">
        <v>32.5</v>
      </c>
      <c r="AC89" s="28" t="s">
        <v>8</v>
      </c>
      <c r="AD89" s="28">
        <v>32.5</v>
      </c>
      <c r="AE89" s="28">
        <v>30</v>
      </c>
      <c r="AF89" s="28">
        <v>25</v>
      </c>
      <c r="AG89" s="28">
        <v>25</v>
      </c>
      <c r="AH89" s="28">
        <v>25</v>
      </c>
      <c r="AI89" s="28">
        <v>25</v>
      </c>
      <c r="AJ89" s="28">
        <v>25</v>
      </c>
      <c r="AK89" s="28">
        <v>25</v>
      </c>
      <c r="AL89" s="28">
        <v>25</v>
      </c>
      <c r="AM89" s="28">
        <v>25</v>
      </c>
      <c r="AN89" s="28">
        <v>25</v>
      </c>
      <c r="AO89" s="28">
        <v>25</v>
      </c>
      <c r="AP89" s="28">
        <v>25</v>
      </c>
      <c r="AQ89" s="28">
        <v>25</v>
      </c>
      <c r="AR89" s="28">
        <v>25</v>
      </c>
      <c r="AS89" s="28">
        <v>25</v>
      </c>
      <c r="AT89" s="28">
        <v>25</v>
      </c>
      <c r="AU89" s="28">
        <v>25</v>
      </c>
      <c r="AV89" s="28">
        <v>25</v>
      </c>
      <c r="AW89" s="28">
        <v>25</v>
      </c>
    </row>
    <row r="90" spans="2:49">
      <c r="B90" s="1" t="s">
        <v>255</v>
      </c>
      <c r="C90" s="1" t="s">
        <v>256</v>
      </c>
      <c r="D90" s="1" t="s">
        <v>21</v>
      </c>
      <c r="E90" s="1" t="s">
        <v>257</v>
      </c>
      <c r="F90" s="28" t="s">
        <v>8</v>
      </c>
      <c r="G90" s="28" t="s">
        <v>8</v>
      </c>
      <c r="H90" s="28" t="s">
        <v>8</v>
      </c>
      <c r="I90" s="28" t="s">
        <v>8</v>
      </c>
      <c r="J90" s="28" t="s">
        <v>8</v>
      </c>
      <c r="K90" s="28" t="s">
        <v>8</v>
      </c>
      <c r="L90" s="28" t="s">
        <v>8</v>
      </c>
      <c r="M90" s="28" t="s">
        <v>8</v>
      </c>
      <c r="N90" s="28" t="s">
        <v>8</v>
      </c>
      <c r="O90" s="28" t="s">
        <v>8</v>
      </c>
      <c r="P90" s="28" t="s">
        <v>8</v>
      </c>
      <c r="Q90" s="28">
        <v>35</v>
      </c>
      <c r="R90" s="28">
        <v>35</v>
      </c>
      <c r="S90" s="28">
        <v>35</v>
      </c>
      <c r="T90" s="28">
        <v>35</v>
      </c>
      <c r="U90" s="28">
        <v>35</v>
      </c>
      <c r="V90" s="28">
        <v>35</v>
      </c>
      <c r="W90" s="28">
        <v>35</v>
      </c>
      <c r="X90" s="28">
        <v>35</v>
      </c>
      <c r="Y90" s="28" t="s">
        <v>8</v>
      </c>
      <c r="Z90" s="28">
        <v>35</v>
      </c>
      <c r="AA90" s="28">
        <v>35</v>
      </c>
      <c r="AB90" s="28">
        <v>35</v>
      </c>
      <c r="AC90" s="28">
        <v>35</v>
      </c>
      <c r="AD90" s="28">
        <v>35</v>
      </c>
      <c r="AE90" s="28">
        <v>35</v>
      </c>
      <c r="AF90" s="28">
        <v>35</v>
      </c>
      <c r="AG90" s="28">
        <v>35</v>
      </c>
      <c r="AH90" s="28">
        <v>33</v>
      </c>
      <c r="AI90" s="28">
        <v>27</v>
      </c>
      <c r="AJ90" s="28">
        <v>22</v>
      </c>
      <c r="AK90" s="28">
        <v>10</v>
      </c>
      <c r="AL90" s="28">
        <v>10</v>
      </c>
      <c r="AM90" s="28">
        <v>10</v>
      </c>
      <c r="AN90" s="28">
        <v>10</v>
      </c>
      <c r="AO90" s="28">
        <v>10</v>
      </c>
      <c r="AP90" s="28">
        <v>10</v>
      </c>
      <c r="AQ90" s="28">
        <v>10</v>
      </c>
      <c r="AR90" s="28">
        <v>10</v>
      </c>
      <c r="AS90" s="28">
        <v>10</v>
      </c>
      <c r="AT90" s="28">
        <v>10</v>
      </c>
      <c r="AU90" s="28">
        <v>12.5</v>
      </c>
      <c r="AV90" s="28">
        <v>12.5</v>
      </c>
      <c r="AW90" s="28">
        <v>12.5</v>
      </c>
    </row>
    <row r="91" spans="2:49">
      <c r="B91" s="1" t="s">
        <v>258</v>
      </c>
      <c r="C91" s="1" t="s">
        <v>259</v>
      </c>
      <c r="D91" s="1" t="s">
        <v>9</v>
      </c>
      <c r="E91" s="1" t="s">
        <v>260</v>
      </c>
      <c r="F91" s="28" t="s">
        <v>8</v>
      </c>
      <c r="G91" s="28" t="s">
        <v>8</v>
      </c>
      <c r="H91" s="28" t="s">
        <v>8</v>
      </c>
      <c r="I91" s="28" t="s">
        <v>8</v>
      </c>
      <c r="J91" s="28" t="s">
        <v>8</v>
      </c>
      <c r="K91" s="28" t="s">
        <v>8</v>
      </c>
      <c r="L91" s="28" t="s">
        <v>8</v>
      </c>
      <c r="M91" s="28" t="s">
        <v>8</v>
      </c>
      <c r="N91" s="28" t="s">
        <v>8</v>
      </c>
      <c r="O91" s="28" t="s">
        <v>8</v>
      </c>
      <c r="P91" s="28" t="s">
        <v>8</v>
      </c>
      <c r="Q91" s="28" t="s">
        <v>8</v>
      </c>
      <c r="R91" s="28" t="s">
        <v>8</v>
      </c>
      <c r="S91" s="28" t="s">
        <v>8</v>
      </c>
      <c r="T91" s="28" t="s">
        <v>8</v>
      </c>
      <c r="U91" s="28">
        <v>35</v>
      </c>
      <c r="V91" s="28">
        <v>35</v>
      </c>
      <c r="W91" s="28">
        <v>35</v>
      </c>
      <c r="X91" s="28">
        <v>35</v>
      </c>
      <c r="Y91" s="28">
        <v>35</v>
      </c>
      <c r="Z91" s="28">
        <v>35</v>
      </c>
      <c r="AA91" s="28">
        <v>35</v>
      </c>
      <c r="AB91" s="28">
        <v>35</v>
      </c>
      <c r="AC91" s="28" t="s">
        <v>8</v>
      </c>
      <c r="AD91" s="28">
        <v>35</v>
      </c>
      <c r="AE91" s="28">
        <v>35</v>
      </c>
      <c r="AF91" s="28">
        <v>35</v>
      </c>
      <c r="AG91" s="28">
        <v>35</v>
      </c>
      <c r="AH91" s="28">
        <v>35</v>
      </c>
      <c r="AI91" s="28">
        <v>35</v>
      </c>
      <c r="AJ91" s="28">
        <v>35</v>
      </c>
      <c r="AK91" s="28">
        <v>35</v>
      </c>
      <c r="AL91" s="28">
        <v>35</v>
      </c>
      <c r="AM91" s="28">
        <v>35</v>
      </c>
      <c r="AN91" s="28">
        <v>35</v>
      </c>
      <c r="AO91" s="28">
        <v>35</v>
      </c>
      <c r="AP91" s="28">
        <v>35</v>
      </c>
      <c r="AQ91" s="28">
        <v>35</v>
      </c>
      <c r="AR91" s="28">
        <v>35</v>
      </c>
      <c r="AS91" s="28">
        <v>35</v>
      </c>
      <c r="AT91" s="28">
        <v>35</v>
      </c>
      <c r="AU91" s="28">
        <v>35</v>
      </c>
      <c r="AV91" s="28">
        <v>35</v>
      </c>
      <c r="AW91" s="28">
        <v>25</v>
      </c>
    </row>
    <row r="92" spans="2:49">
      <c r="B92" s="1" t="s">
        <v>261</v>
      </c>
      <c r="C92" s="1" t="s">
        <v>262</v>
      </c>
      <c r="D92" s="1" t="s">
        <v>6</v>
      </c>
      <c r="E92" s="1" t="s">
        <v>263</v>
      </c>
      <c r="F92" s="28" t="s">
        <v>8</v>
      </c>
      <c r="G92" s="28" t="s">
        <v>8</v>
      </c>
      <c r="H92" s="28" t="s">
        <v>8</v>
      </c>
      <c r="I92" s="28" t="s">
        <v>8</v>
      </c>
      <c r="J92" s="28" t="s">
        <v>8</v>
      </c>
      <c r="K92" s="28" t="s">
        <v>8</v>
      </c>
      <c r="L92" s="28" t="s">
        <v>8</v>
      </c>
      <c r="M92" s="28" t="s">
        <v>8</v>
      </c>
      <c r="N92" s="28" t="s">
        <v>8</v>
      </c>
      <c r="O92" s="28" t="s">
        <v>8</v>
      </c>
      <c r="P92" s="28" t="s">
        <v>8</v>
      </c>
      <c r="Q92" s="28" t="s">
        <v>8</v>
      </c>
      <c r="R92" s="28" t="s">
        <v>8</v>
      </c>
      <c r="S92" s="28" t="s">
        <v>8</v>
      </c>
      <c r="T92" s="28" t="s">
        <v>8</v>
      </c>
      <c r="U92" s="28" t="s">
        <v>8</v>
      </c>
      <c r="V92" s="28" t="s">
        <v>8</v>
      </c>
      <c r="W92" s="28" t="s">
        <v>8</v>
      </c>
      <c r="X92" s="28" t="s">
        <v>8</v>
      </c>
      <c r="Y92" s="28" t="s">
        <v>8</v>
      </c>
      <c r="Z92" s="28" t="s">
        <v>8</v>
      </c>
      <c r="AA92" s="28" t="s">
        <v>8</v>
      </c>
      <c r="AB92" s="28" t="s">
        <v>8</v>
      </c>
      <c r="AC92" s="28" t="s">
        <v>8</v>
      </c>
      <c r="AD92" s="28" t="s">
        <v>8</v>
      </c>
      <c r="AE92" s="28" t="s">
        <v>8</v>
      </c>
      <c r="AF92" s="28" t="s">
        <v>8</v>
      </c>
      <c r="AG92" s="28" t="s">
        <v>8</v>
      </c>
      <c r="AH92" s="28" t="s">
        <v>8</v>
      </c>
      <c r="AI92" s="28" t="s">
        <v>8</v>
      </c>
      <c r="AJ92" s="28" t="s">
        <v>8</v>
      </c>
      <c r="AK92" s="28" t="s">
        <v>8</v>
      </c>
      <c r="AL92" s="28" t="s">
        <v>8</v>
      </c>
      <c r="AM92" s="28" t="s">
        <v>8</v>
      </c>
      <c r="AN92" s="28" t="s">
        <v>8</v>
      </c>
      <c r="AO92" s="28" t="s">
        <v>8</v>
      </c>
      <c r="AP92" s="28" t="s">
        <v>8</v>
      </c>
      <c r="AQ92" s="28" t="s">
        <v>8</v>
      </c>
      <c r="AR92" s="28" t="s">
        <v>8</v>
      </c>
      <c r="AS92" s="28" t="s">
        <v>8</v>
      </c>
      <c r="AT92" s="28" t="s">
        <v>8</v>
      </c>
      <c r="AU92" s="28" t="s">
        <v>8</v>
      </c>
      <c r="AV92" s="28" t="s">
        <v>8</v>
      </c>
      <c r="AW92" s="28" t="s">
        <v>8</v>
      </c>
    </row>
    <row r="93" spans="2:49">
      <c r="B93" s="1" t="s">
        <v>264</v>
      </c>
      <c r="C93" s="1" t="s">
        <v>265</v>
      </c>
      <c r="D93" s="1" t="s">
        <v>9</v>
      </c>
      <c r="E93" s="1" t="s">
        <v>266</v>
      </c>
      <c r="F93" s="28" t="s">
        <v>8</v>
      </c>
      <c r="G93" s="28" t="s">
        <v>8</v>
      </c>
      <c r="H93" s="28" t="s">
        <v>8</v>
      </c>
      <c r="I93" s="28" t="s">
        <v>8</v>
      </c>
      <c r="J93" s="28" t="s">
        <v>8</v>
      </c>
      <c r="K93" s="28" t="s">
        <v>8</v>
      </c>
      <c r="L93" s="28" t="s">
        <v>8</v>
      </c>
      <c r="M93" s="28" t="s">
        <v>8</v>
      </c>
      <c r="N93" s="28" t="s">
        <v>8</v>
      </c>
      <c r="O93" s="28" t="s">
        <v>8</v>
      </c>
      <c r="P93" s="28" t="s">
        <v>8</v>
      </c>
      <c r="Q93" s="28" t="s">
        <v>8</v>
      </c>
      <c r="R93" s="28" t="s">
        <v>8</v>
      </c>
      <c r="S93" s="28" t="s">
        <v>8</v>
      </c>
      <c r="T93" s="28" t="s">
        <v>8</v>
      </c>
      <c r="U93" s="28" t="s">
        <v>8</v>
      </c>
      <c r="V93" s="28" t="s">
        <v>8</v>
      </c>
      <c r="W93" s="28" t="s">
        <v>8</v>
      </c>
      <c r="X93" s="28" t="s">
        <v>8</v>
      </c>
      <c r="Y93" s="28" t="s">
        <v>8</v>
      </c>
      <c r="Z93" s="28">
        <v>35</v>
      </c>
      <c r="AA93" s="28">
        <v>35</v>
      </c>
      <c r="AB93" s="28">
        <v>35</v>
      </c>
      <c r="AC93" s="28" t="s">
        <v>8</v>
      </c>
      <c r="AD93" s="28" t="s">
        <v>8</v>
      </c>
      <c r="AE93" s="28" t="s">
        <v>8</v>
      </c>
      <c r="AF93" s="28" t="s">
        <v>8</v>
      </c>
      <c r="AG93" s="28" t="s">
        <v>8</v>
      </c>
      <c r="AH93" s="28" t="s">
        <v>8</v>
      </c>
      <c r="AI93" s="28" t="s">
        <v>8</v>
      </c>
      <c r="AJ93" s="28" t="s">
        <v>8</v>
      </c>
      <c r="AK93" s="28" t="s">
        <v>8</v>
      </c>
      <c r="AL93" s="28" t="s">
        <v>8</v>
      </c>
      <c r="AM93" s="28" t="s">
        <v>8</v>
      </c>
      <c r="AN93" s="28" t="s">
        <v>8</v>
      </c>
      <c r="AO93" s="28">
        <v>31</v>
      </c>
      <c r="AP93" s="28">
        <v>31</v>
      </c>
      <c r="AQ93" s="28">
        <v>30</v>
      </c>
      <c r="AR93" s="28">
        <v>31</v>
      </c>
      <c r="AS93" s="28">
        <v>31</v>
      </c>
      <c r="AT93" s="28">
        <v>31</v>
      </c>
      <c r="AU93" s="28">
        <v>27</v>
      </c>
      <c r="AV93" s="28">
        <v>27</v>
      </c>
      <c r="AW93" s="28">
        <v>27</v>
      </c>
    </row>
    <row r="94" spans="2:49">
      <c r="B94" s="1" t="s">
        <v>267</v>
      </c>
      <c r="C94" s="1" t="s">
        <v>268</v>
      </c>
      <c r="D94" s="1" t="s">
        <v>9</v>
      </c>
      <c r="E94" s="1" t="s">
        <v>269</v>
      </c>
      <c r="F94" s="28" t="s">
        <v>8</v>
      </c>
      <c r="G94" s="28" t="s">
        <v>8</v>
      </c>
      <c r="H94" s="28" t="s">
        <v>8</v>
      </c>
      <c r="I94" s="28" t="s">
        <v>8</v>
      </c>
      <c r="J94" s="28" t="s">
        <v>8</v>
      </c>
      <c r="K94" s="28" t="s">
        <v>8</v>
      </c>
      <c r="L94" s="28" t="s">
        <v>8</v>
      </c>
      <c r="M94" s="28" t="s">
        <v>8</v>
      </c>
      <c r="N94" s="28" t="s">
        <v>8</v>
      </c>
      <c r="O94" s="28" t="s">
        <v>8</v>
      </c>
      <c r="P94" s="28" t="s">
        <v>8</v>
      </c>
      <c r="Q94" s="28" t="s">
        <v>8</v>
      </c>
      <c r="R94" s="28" t="s">
        <v>8</v>
      </c>
      <c r="S94" s="28" t="s">
        <v>8</v>
      </c>
      <c r="T94" s="28" t="s">
        <v>8</v>
      </c>
      <c r="U94" s="28" t="s">
        <v>8</v>
      </c>
      <c r="V94" s="28" t="s">
        <v>8</v>
      </c>
      <c r="W94" s="28" t="s">
        <v>8</v>
      </c>
      <c r="X94" s="28" t="s">
        <v>8</v>
      </c>
      <c r="Y94" s="28" t="s">
        <v>8</v>
      </c>
      <c r="Z94" s="28" t="s">
        <v>8</v>
      </c>
      <c r="AA94" s="28" t="s">
        <v>8</v>
      </c>
      <c r="AB94" s="28" t="s">
        <v>8</v>
      </c>
      <c r="AC94" s="28" t="s">
        <v>8</v>
      </c>
      <c r="AD94" s="28" t="s">
        <v>8</v>
      </c>
      <c r="AE94" s="28" t="s">
        <v>8</v>
      </c>
      <c r="AF94" s="28" t="s">
        <v>8</v>
      </c>
      <c r="AG94" s="28" t="s">
        <v>8</v>
      </c>
      <c r="AH94" s="28" t="s">
        <v>8</v>
      </c>
      <c r="AI94" s="28" t="s">
        <v>8</v>
      </c>
      <c r="AJ94" s="28" t="s">
        <v>8</v>
      </c>
      <c r="AK94" s="28">
        <v>25</v>
      </c>
      <c r="AL94" s="28">
        <v>25</v>
      </c>
      <c r="AM94" s="28">
        <v>25</v>
      </c>
      <c r="AN94" s="28">
        <v>25</v>
      </c>
      <c r="AO94" s="28">
        <v>25</v>
      </c>
      <c r="AP94" s="28">
        <v>25</v>
      </c>
      <c r="AQ94" s="28">
        <v>25</v>
      </c>
      <c r="AR94" s="28">
        <v>25</v>
      </c>
      <c r="AS94" s="28">
        <v>25</v>
      </c>
      <c r="AT94" s="28">
        <v>25</v>
      </c>
      <c r="AU94" s="28">
        <v>25</v>
      </c>
      <c r="AV94" s="28">
        <v>25</v>
      </c>
      <c r="AW94" s="28">
        <v>25</v>
      </c>
    </row>
    <row r="95" spans="2:49">
      <c r="B95" s="1" t="s">
        <v>270</v>
      </c>
      <c r="C95" s="1" t="s">
        <v>271</v>
      </c>
      <c r="D95" s="1" t="s">
        <v>9</v>
      </c>
      <c r="E95" s="1" t="s">
        <v>272</v>
      </c>
      <c r="F95" s="28" t="s">
        <v>8</v>
      </c>
      <c r="G95" s="28" t="s">
        <v>8</v>
      </c>
      <c r="H95" s="28" t="s">
        <v>8</v>
      </c>
      <c r="I95" s="28" t="s">
        <v>8</v>
      </c>
      <c r="J95" s="28" t="s">
        <v>8</v>
      </c>
      <c r="K95" s="28" t="s">
        <v>8</v>
      </c>
      <c r="L95" s="28" t="s">
        <v>8</v>
      </c>
      <c r="M95" s="28" t="s">
        <v>8</v>
      </c>
      <c r="N95" s="28" t="s">
        <v>8</v>
      </c>
      <c r="O95" s="28" t="s">
        <v>8</v>
      </c>
      <c r="P95" s="28" t="s">
        <v>8</v>
      </c>
      <c r="Q95" s="28" t="s">
        <v>8</v>
      </c>
      <c r="R95" s="28" t="s">
        <v>8</v>
      </c>
      <c r="S95" s="28" t="s">
        <v>8</v>
      </c>
      <c r="T95" s="28" t="s">
        <v>8</v>
      </c>
      <c r="U95" s="28" t="s">
        <v>8</v>
      </c>
      <c r="V95" s="28" t="s">
        <v>8</v>
      </c>
      <c r="W95" s="28" t="s">
        <v>8</v>
      </c>
      <c r="X95" s="28" t="s">
        <v>8</v>
      </c>
      <c r="Y95" s="28" t="s">
        <v>8</v>
      </c>
      <c r="Z95" s="28" t="s">
        <v>8</v>
      </c>
      <c r="AA95" s="28" t="s">
        <v>8</v>
      </c>
      <c r="AB95" s="28" t="s">
        <v>8</v>
      </c>
      <c r="AC95" s="28" t="s">
        <v>8</v>
      </c>
      <c r="AD95" s="28">
        <v>25</v>
      </c>
      <c r="AE95" s="28">
        <v>25</v>
      </c>
      <c r="AF95" s="28">
        <v>35</v>
      </c>
      <c r="AG95" s="28">
        <v>35</v>
      </c>
      <c r="AH95" s="28">
        <v>35</v>
      </c>
      <c r="AI95" s="28">
        <v>35</v>
      </c>
      <c r="AJ95" s="28">
        <v>35</v>
      </c>
      <c r="AK95" s="28">
        <v>35</v>
      </c>
      <c r="AL95" s="28">
        <v>35</v>
      </c>
      <c r="AM95" s="28">
        <v>35</v>
      </c>
      <c r="AN95" s="28">
        <v>35</v>
      </c>
      <c r="AO95" s="28">
        <v>35</v>
      </c>
      <c r="AP95" s="28">
        <v>35</v>
      </c>
      <c r="AQ95" s="28">
        <v>35</v>
      </c>
      <c r="AR95" s="28">
        <v>35</v>
      </c>
      <c r="AS95" s="28">
        <v>35</v>
      </c>
      <c r="AT95" s="28">
        <v>35</v>
      </c>
      <c r="AU95" s="28">
        <v>35</v>
      </c>
      <c r="AV95" s="28">
        <v>35</v>
      </c>
      <c r="AW95" s="28">
        <v>35</v>
      </c>
    </row>
    <row r="96" spans="2:49">
      <c r="B96" s="1" t="s">
        <v>273</v>
      </c>
      <c r="C96" s="1" t="s">
        <v>274</v>
      </c>
      <c r="D96" s="1" t="s">
        <v>21</v>
      </c>
      <c r="E96" s="1" t="s">
        <v>275</v>
      </c>
      <c r="F96" s="28" t="s">
        <v>8</v>
      </c>
      <c r="G96" s="28">
        <v>45</v>
      </c>
      <c r="H96" s="28">
        <v>45</v>
      </c>
      <c r="I96" s="28">
        <v>45</v>
      </c>
      <c r="J96" s="28">
        <v>45</v>
      </c>
      <c r="K96" s="28">
        <v>49</v>
      </c>
      <c r="L96" s="28">
        <v>49</v>
      </c>
      <c r="M96" s="28">
        <v>49</v>
      </c>
      <c r="N96" s="28">
        <v>49</v>
      </c>
      <c r="O96" s="28">
        <v>46</v>
      </c>
      <c r="P96" s="28">
        <v>46</v>
      </c>
      <c r="Q96" s="28">
        <v>46</v>
      </c>
      <c r="R96" s="28">
        <v>40.5</v>
      </c>
      <c r="S96" s="28">
        <v>35</v>
      </c>
      <c r="T96" s="28">
        <v>35</v>
      </c>
      <c r="U96" s="28">
        <v>35</v>
      </c>
      <c r="V96" s="28">
        <v>35</v>
      </c>
      <c r="W96" s="28">
        <v>35</v>
      </c>
      <c r="X96" s="28">
        <v>40</v>
      </c>
      <c r="Y96" s="28">
        <v>40</v>
      </c>
      <c r="Z96" s="28">
        <v>40</v>
      </c>
      <c r="AA96" s="28">
        <v>37.5</v>
      </c>
      <c r="AB96" s="28">
        <v>35</v>
      </c>
      <c r="AC96" s="28">
        <v>35</v>
      </c>
      <c r="AD96" s="28">
        <v>35</v>
      </c>
      <c r="AE96" s="28">
        <v>32</v>
      </c>
      <c r="AF96" s="28">
        <v>29</v>
      </c>
      <c r="AG96" s="28">
        <v>25</v>
      </c>
      <c r="AH96" s="28">
        <v>25</v>
      </c>
      <c r="AI96" s="28">
        <v>25</v>
      </c>
      <c r="AJ96" s="28">
        <v>24</v>
      </c>
      <c r="AK96" s="28">
        <v>20</v>
      </c>
      <c r="AL96" s="28">
        <v>20</v>
      </c>
      <c r="AM96" s="28">
        <v>26</v>
      </c>
      <c r="AN96" s="28">
        <v>26</v>
      </c>
      <c r="AO96" s="28">
        <v>26</v>
      </c>
      <c r="AP96" s="28">
        <v>29</v>
      </c>
      <c r="AQ96" s="28">
        <v>29</v>
      </c>
      <c r="AR96" s="28">
        <v>29</v>
      </c>
      <c r="AS96" s="28">
        <v>24</v>
      </c>
      <c r="AT96" s="28">
        <v>24</v>
      </c>
      <c r="AU96" s="28">
        <v>24</v>
      </c>
      <c r="AV96" s="28">
        <v>22</v>
      </c>
      <c r="AW96" s="28">
        <v>22</v>
      </c>
    </row>
    <row r="97" spans="2:49">
      <c r="B97" s="1" t="s">
        <v>276</v>
      </c>
      <c r="C97" s="1" t="s">
        <v>277</v>
      </c>
      <c r="D97" s="1" t="s">
        <v>6</v>
      </c>
      <c r="E97" s="1" t="s">
        <v>278</v>
      </c>
      <c r="F97" s="28" t="s">
        <v>8</v>
      </c>
      <c r="G97" s="28" t="s">
        <v>8</v>
      </c>
      <c r="H97" s="28" t="s">
        <v>8</v>
      </c>
      <c r="I97" s="28" t="s">
        <v>8</v>
      </c>
      <c r="J97" s="28" t="s">
        <v>8</v>
      </c>
      <c r="K97" s="28" t="s">
        <v>8</v>
      </c>
      <c r="L97" s="28" t="s">
        <v>8</v>
      </c>
      <c r="M97" s="28" t="s">
        <v>8</v>
      </c>
      <c r="N97" s="28" t="s">
        <v>8</v>
      </c>
      <c r="O97" s="28" t="s">
        <v>8</v>
      </c>
      <c r="P97" s="28" t="s">
        <v>8</v>
      </c>
      <c r="Q97" s="28">
        <v>33</v>
      </c>
      <c r="R97" s="28" t="s">
        <v>8</v>
      </c>
      <c r="S97" s="28" t="s">
        <v>8</v>
      </c>
      <c r="T97" s="28" t="s">
        <v>8</v>
      </c>
      <c r="U97" s="28" t="s">
        <v>8</v>
      </c>
      <c r="V97" s="28" t="s">
        <v>8</v>
      </c>
      <c r="W97" s="28" t="s">
        <v>8</v>
      </c>
      <c r="X97" s="28">
        <v>30</v>
      </c>
      <c r="Y97" s="28" t="s">
        <v>8</v>
      </c>
      <c r="Z97" s="28">
        <v>30</v>
      </c>
      <c r="AA97" s="28">
        <v>30</v>
      </c>
      <c r="AB97" s="28">
        <v>30</v>
      </c>
      <c r="AC97" s="28">
        <v>30</v>
      </c>
      <c r="AD97" s="28">
        <v>30</v>
      </c>
      <c r="AE97" s="28">
        <v>30</v>
      </c>
      <c r="AF97" s="28">
        <v>30</v>
      </c>
      <c r="AG97" s="28">
        <v>30</v>
      </c>
      <c r="AH97" s="28">
        <v>30</v>
      </c>
      <c r="AI97" s="28">
        <v>30</v>
      </c>
      <c r="AJ97" s="28">
        <v>30</v>
      </c>
      <c r="AK97" s="28">
        <v>30</v>
      </c>
      <c r="AL97" s="28">
        <v>30</v>
      </c>
      <c r="AM97" s="28">
        <v>30</v>
      </c>
      <c r="AN97" s="28">
        <v>30</v>
      </c>
      <c r="AO97" s="28">
        <v>30</v>
      </c>
      <c r="AP97" s="28">
        <v>30</v>
      </c>
      <c r="AQ97" s="28">
        <v>30</v>
      </c>
      <c r="AR97" s="28">
        <v>30</v>
      </c>
      <c r="AS97" s="28">
        <v>28</v>
      </c>
      <c r="AT97" s="28">
        <v>28</v>
      </c>
      <c r="AU97" s="28">
        <v>28</v>
      </c>
      <c r="AV97" s="28">
        <v>28</v>
      </c>
      <c r="AW97" s="28">
        <v>28</v>
      </c>
    </row>
    <row r="98" spans="2:49">
      <c r="B98" s="1" t="s">
        <v>279</v>
      </c>
      <c r="C98" s="1" t="s">
        <v>280</v>
      </c>
      <c r="D98" s="1" t="s">
        <v>6</v>
      </c>
      <c r="E98" s="1" t="s">
        <v>281</v>
      </c>
      <c r="F98" s="28" t="s">
        <v>8</v>
      </c>
      <c r="G98" s="28" t="s">
        <v>8</v>
      </c>
      <c r="H98" s="28" t="s">
        <v>8</v>
      </c>
      <c r="I98" s="28" t="s">
        <v>8</v>
      </c>
      <c r="J98" s="28" t="s">
        <v>8</v>
      </c>
      <c r="K98" s="28" t="s">
        <v>8</v>
      </c>
      <c r="L98" s="28" t="s">
        <v>8</v>
      </c>
      <c r="M98" s="28" t="s">
        <v>8</v>
      </c>
      <c r="N98" s="28" t="s">
        <v>8</v>
      </c>
      <c r="O98" s="28" t="s">
        <v>8</v>
      </c>
      <c r="P98" s="28" t="s">
        <v>8</v>
      </c>
      <c r="Q98" s="28" t="s">
        <v>8</v>
      </c>
      <c r="R98" s="28" t="s">
        <v>8</v>
      </c>
      <c r="S98" s="28" t="s">
        <v>8</v>
      </c>
      <c r="T98" s="28" t="s">
        <v>8</v>
      </c>
      <c r="U98" s="28" t="s">
        <v>8</v>
      </c>
      <c r="V98" s="28" t="s">
        <v>8</v>
      </c>
      <c r="W98" s="28" t="s">
        <v>8</v>
      </c>
      <c r="X98" s="28" t="s">
        <v>8</v>
      </c>
      <c r="Y98" s="28" t="s">
        <v>8</v>
      </c>
      <c r="Z98" s="28">
        <v>35</v>
      </c>
      <c r="AA98" s="28">
        <v>35</v>
      </c>
      <c r="AB98" s="28">
        <v>35</v>
      </c>
      <c r="AC98" s="28">
        <v>35</v>
      </c>
      <c r="AD98" s="28">
        <v>35</v>
      </c>
      <c r="AE98" s="28">
        <v>35</v>
      </c>
      <c r="AF98" s="28">
        <v>35</v>
      </c>
      <c r="AG98" s="28">
        <v>30</v>
      </c>
      <c r="AH98" s="28">
        <v>30</v>
      </c>
      <c r="AI98" s="28">
        <v>30</v>
      </c>
      <c r="AJ98" s="28">
        <v>30</v>
      </c>
      <c r="AK98" s="28">
        <v>30</v>
      </c>
      <c r="AL98" s="28">
        <v>30</v>
      </c>
      <c r="AM98" s="28">
        <v>30</v>
      </c>
      <c r="AN98" s="28">
        <v>30</v>
      </c>
      <c r="AO98" s="28">
        <v>30</v>
      </c>
      <c r="AP98" s="28">
        <v>31.8</v>
      </c>
      <c r="AQ98" s="28">
        <v>31.8</v>
      </c>
      <c r="AR98" s="28">
        <v>31.8</v>
      </c>
      <c r="AS98" s="28">
        <v>31.8</v>
      </c>
      <c r="AT98" s="28">
        <v>26.5</v>
      </c>
      <c r="AU98" s="28">
        <v>26.5</v>
      </c>
      <c r="AV98" s="28">
        <v>26.5</v>
      </c>
      <c r="AW98" s="28">
        <v>26.5</v>
      </c>
    </row>
    <row r="99" spans="2:49">
      <c r="B99" s="1" t="s">
        <v>282</v>
      </c>
      <c r="C99" s="1" t="s">
        <v>283</v>
      </c>
      <c r="D99" s="1" t="s">
        <v>6</v>
      </c>
      <c r="E99" s="1" t="s">
        <v>284</v>
      </c>
      <c r="F99" s="28">
        <v>48</v>
      </c>
      <c r="G99" s="28">
        <v>48</v>
      </c>
      <c r="H99" s="28">
        <v>48</v>
      </c>
      <c r="I99" s="28">
        <v>48</v>
      </c>
      <c r="J99" s="28">
        <v>42</v>
      </c>
      <c r="K99" s="28">
        <v>42</v>
      </c>
      <c r="L99" s="28">
        <v>42</v>
      </c>
      <c r="M99" s="28">
        <v>42</v>
      </c>
      <c r="N99" s="28">
        <v>34</v>
      </c>
      <c r="O99" s="28">
        <v>34</v>
      </c>
      <c r="P99" s="28">
        <v>34</v>
      </c>
      <c r="Q99" s="28">
        <v>34</v>
      </c>
      <c r="R99" s="28">
        <v>34</v>
      </c>
      <c r="S99" s="28">
        <v>25</v>
      </c>
      <c r="T99" s="28">
        <v>25</v>
      </c>
      <c r="U99" s="28">
        <v>30</v>
      </c>
      <c r="V99" s="28">
        <v>30</v>
      </c>
      <c r="W99" s="28">
        <v>30</v>
      </c>
      <c r="X99" s="28">
        <v>25</v>
      </c>
      <c r="Y99" s="28">
        <v>27.5</v>
      </c>
      <c r="Z99" s="28">
        <v>25</v>
      </c>
      <c r="AA99" s="28">
        <v>31</v>
      </c>
      <c r="AB99" s="28">
        <v>31</v>
      </c>
      <c r="AC99" s="28">
        <v>31</v>
      </c>
      <c r="AD99" s="28">
        <v>31</v>
      </c>
      <c r="AE99" s="28">
        <v>31</v>
      </c>
      <c r="AF99" s="28">
        <v>31</v>
      </c>
      <c r="AG99" s="28">
        <v>31</v>
      </c>
      <c r="AH99" s="28">
        <v>31</v>
      </c>
      <c r="AI99" s="28">
        <v>31</v>
      </c>
      <c r="AJ99" s="28">
        <v>31</v>
      </c>
      <c r="AK99" s="28">
        <v>31</v>
      </c>
      <c r="AL99" s="28">
        <v>31</v>
      </c>
      <c r="AM99" s="28">
        <v>31</v>
      </c>
      <c r="AN99" s="28">
        <v>28</v>
      </c>
      <c r="AO99" s="28">
        <v>25</v>
      </c>
      <c r="AP99" s="28">
        <v>25</v>
      </c>
      <c r="AQ99" s="28">
        <v>25</v>
      </c>
      <c r="AR99" s="28">
        <v>25</v>
      </c>
      <c r="AS99" s="28">
        <v>25</v>
      </c>
      <c r="AT99" s="28">
        <v>25</v>
      </c>
      <c r="AU99" s="28">
        <v>25</v>
      </c>
      <c r="AV99" s="28">
        <v>25</v>
      </c>
      <c r="AW99" s="28">
        <v>25</v>
      </c>
    </row>
    <row r="100" spans="2:49">
      <c r="B100" s="1" t="s">
        <v>285</v>
      </c>
      <c r="C100" s="1" t="s">
        <v>286</v>
      </c>
      <c r="D100" s="1" t="s">
        <v>37</v>
      </c>
      <c r="E100" s="1" t="s">
        <v>287</v>
      </c>
      <c r="F100" s="28" t="s">
        <v>8</v>
      </c>
      <c r="G100" s="28" t="s">
        <v>8</v>
      </c>
      <c r="H100" s="28" t="s">
        <v>8</v>
      </c>
      <c r="I100" s="28" t="s">
        <v>8</v>
      </c>
      <c r="J100" s="28" t="s">
        <v>8</v>
      </c>
      <c r="K100" s="28" t="s">
        <v>8</v>
      </c>
      <c r="L100" s="28" t="s">
        <v>8</v>
      </c>
      <c r="M100" s="28" t="s">
        <v>8</v>
      </c>
      <c r="N100" s="28" t="s">
        <v>8</v>
      </c>
      <c r="O100" s="28" t="s">
        <v>8</v>
      </c>
      <c r="P100" s="28" t="s">
        <v>8</v>
      </c>
      <c r="Q100" s="28" t="s">
        <v>8</v>
      </c>
      <c r="R100" s="28" t="s">
        <v>8</v>
      </c>
      <c r="S100" s="28" t="s">
        <v>8</v>
      </c>
      <c r="T100" s="28" t="s">
        <v>8</v>
      </c>
      <c r="U100" s="28" t="s">
        <v>8</v>
      </c>
      <c r="V100" s="28" t="s">
        <v>8</v>
      </c>
      <c r="W100" s="28" t="s">
        <v>8</v>
      </c>
      <c r="X100" s="28" t="s">
        <v>8</v>
      </c>
      <c r="Y100" s="28" t="s">
        <v>8</v>
      </c>
      <c r="Z100" s="28" t="s">
        <v>8</v>
      </c>
      <c r="AA100" s="28" t="s">
        <v>8</v>
      </c>
      <c r="AB100" s="28" t="s">
        <v>8</v>
      </c>
      <c r="AC100" s="28" t="s">
        <v>8</v>
      </c>
      <c r="AD100" s="28" t="s">
        <v>8</v>
      </c>
      <c r="AE100" s="28" t="s">
        <v>8</v>
      </c>
      <c r="AF100" s="28" t="s">
        <v>8</v>
      </c>
      <c r="AG100" s="28" t="s">
        <v>8</v>
      </c>
      <c r="AH100" s="28" t="s">
        <v>8</v>
      </c>
      <c r="AI100" s="28" t="s">
        <v>8</v>
      </c>
      <c r="AJ100" s="28" t="s">
        <v>8</v>
      </c>
      <c r="AK100" s="28" t="s">
        <v>8</v>
      </c>
      <c r="AL100" s="28" t="s">
        <v>8</v>
      </c>
      <c r="AM100" s="28" t="s">
        <v>8</v>
      </c>
      <c r="AN100" s="28" t="s">
        <v>8</v>
      </c>
      <c r="AO100" s="28" t="s">
        <v>8</v>
      </c>
      <c r="AP100" s="28" t="s">
        <v>8</v>
      </c>
      <c r="AQ100" s="28" t="s">
        <v>8</v>
      </c>
      <c r="AR100" s="28" t="s">
        <v>8</v>
      </c>
      <c r="AS100" s="28" t="s">
        <v>8</v>
      </c>
      <c r="AT100" s="28" t="s">
        <v>8</v>
      </c>
      <c r="AU100" s="28" t="s">
        <v>8</v>
      </c>
      <c r="AV100" s="28" t="s">
        <v>8</v>
      </c>
      <c r="AW100" s="28" t="s">
        <v>8</v>
      </c>
    </row>
    <row r="101" spans="2:49">
      <c r="B101" s="1" t="s">
        <v>288</v>
      </c>
      <c r="C101" s="1" t="s">
        <v>289</v>
      </c>
      <c r="D101" s="1" t="s">
        <v>43</v>
      </c>
      <c r="E101" s="1" t="s">
        <v>290</v>
      </c>
      <c r="F101" s="28" t="s">
        <v>8</v>
      </c>
      <c r="G101" s="28" t="s">
        <v>8</v>
      </c>
      <c r="H101" s="28" t="s">
        <v>8</v>
      </c>
      <c r="I101" s="28" t="s">
        <v>8</v>
      </c>
      <c r="J101" s="28" t="s">
        <v>8</v>
      </c>
      <c r="K101" s="28" t="s">
        <v>8</v>
      </c>
      <c r="L101" s="28" t="s">
        <v>8</v>
      </c>
      <c r="M101" s="28" t="s">
        <v>8</v>
      </c>
      <c r="N101" s="28" t="s">
        <v>8</v>
      </c>
      <c r="O101" s="28" t="s">
        <v>8</v>
      </c>
      <c r="P101" s="28" t="s">
        <v>8</v>
      </c>
      <c r="Q101" s="28" t="s">
        <v>8</v>
      </c>
      <c r="R101" s="28" t="s">
        <v>8</v>
      </c>
      <c r="S101" s="28" t="s">
        <v>8</v>
      </c>
      <c r="T101" s="28" t="s">
        <v>8</v>
      </c>
      <c r="U101" s="28" t="s">
        <v>8</v>
      </c>
      <c r="V101" s="28" t="s">
        <v>8</v>
      </c>
      <c r="W101" s="28" t="s">
        <v>8</v>
      </c>
      <c r="X101" s="28" t="s">
        <v>8</v>
      </c>
      <c r="Y101" s="28" t="s">
        <v>8</v>
      </c>
      <c r="Z101" s="28" t="s">
        <v>8</v>
      </c>
      <c r="AA101" s="28">
        <v>35</v>
      </c>
      <c r="AB101" s="28">
        <v>35</v>
      </c>
      <c r="AC101" s="28" t="s">
        <v>8</v>
      </c>
      <c r="AD101" s="28">
        <v>35</v>
      </c>
      <c r="AE101" s="28">
        <v>35</v>
      </c>
      <c r="AF101" s="28">
        <v>35</v>
      </c>
      <c r="AG101" s="28">
        <v>35</v>
      </c>
      <c r="AH101" s="28">
        <v>35</v>
      </c>
      <c r="AI101" s="28">
        <v>35</v>
      </c>
      <c r="AJ101" s="28">
        <v>35</v>
      </c>
      <c r="AK101" s="28">
        <v>35</v>
      </c>
      <c r="AL101" s="28">
        <v>35</v>
      </c>
      <c r="AM101" s="28">
        <v>35</v>
      </c>
      <c r="AN101" s="28">
        <v>35</v>
      </c>
      <c r="AO101" s="28">
        <v>35</v>
      </c>
      <c r="AP101" s="28">
        <v>35</v>
      </c>
      <c r="AQ101" s="28">
        <v>35</v>
      </c>
      <c r="AR101" s="28">
        <v>21</v>
      </c>
      <c r="AS101" s="28">
        <v>21</v>
      </c>
      <c r="AT101" s="28">
        <v>21</v>
      </c>
      <c r="AU101" s="28">
        <v>21</v>
      </c>
      <c r="AV101" s="28">
        <v>21</v>
      </c>
      <c r="AW101" s="28">
        <v>21</v>
      </c>
    </row>
    <row r="102" spans="2:49">
      <c r="B102" s="1" t="s">
        <v>291</v>
      </c>
      <c r="C102" s="1" t="s">
        <v>292</v>
      </c>
      <c r="D102" s="1" t="s">
        <v>37</v>
      </c>
      <c r="E102" s="1" t="s">
        <v>293</v>
      </c>
      <c r="F102" s="28" t="s">
        <v>8</v>
      </c>
      <c r="G102" s="28" t="s">
        <v>8</v>
      </c>
      <c r="H102" s="28" t="s">
        <v>8</v>
      </c>
      <c r="I102" s="28" t="s">
        <v>8</v>
      </c>
      <c r="J102" s="28" t="s">
        <v>8</v>
      </c>
      <c r="K102" s="28" t="s">
        <v>8</v>
      </c>
      <c r="L102" s="28" t="s">
        <v>8</v>
      </c>
      <c r="M102" s="28" t="s">
        <v>8</v>
      </c>
      <c r="N102" s="28">
        <v>55</v>
      </c>
      <c r="O102" s="28">
        <v>55</v>
      </c>
      <c r="P102" s="28">
        <v>55</v>
      </c>
      <c r="Q102" s="28">
        <v>55</v>
      </c>
      <c r="R102" s="28">
        <v>55</v>
      </c>
      <c r="S102" s="28">
        <v>35</v>
      </c>
      <c r="T102" s="28">
        <v>35</v>
      </c>
      <c r="U102" s="28">
        <v>45</v>
      </c>
      <c r="V102" s="28">
        <v>45</v>
      </c>
      <c r="W102" s="28">
        <v>45</v>
      </c>
      <c r="X102" s="28">
        <v>45</v>
      </c>
      <c r="Y102" s="28">
        <v>45</v>
      </c>
      <c r="Z102" s="28">
        <v>45</v>
      </c>
      <c r="AA102" s="28">
        <v>45</v>
      </c>
      <c r="AB102" s="28">
        <v>45</v>
      </c>
      <c r="AC102" s="28" t="s">
        <v>8</v>
      </c>
      <c r="AD102" s="28">
        <v>35</v>
      </c>
      <c r="AE102" s="28">
        <v>35</v>
      </c>
      <c r="AF102" s="28" t="s">
        <v>8</v>
      </c>
      <c r="AG102" s="28" t="s">
        <v>8</v>
      </c>
      <c r="AH102" s="28" t="s">
        <v>8</v>
      </c>
      <c r="AI102" s="28" t="s">
        <v>8</v>
      </c>
      <c r="AJ102" s="28">
        <v>35</v>
      </c>
      <c r="AK102" s="28">
        <v>30</v>
      </c>
      <c r="AL102" s="28">
        <v>30</v>
      </c>
      <c r="AM102" s="28">
        <v>30</v>
      </c>
      <c r="AN102" s="28">
        <v>30</v>
      </c>
      <c r="AO102" s="28">
        <v>30</v>
      </c>
      <c r="AP102" s="28">
        <v>30</v>
      </c>
      <c r="AQ102" s="28">
        <v>27.5</v>
      </c>
      <c r="AR102" s="28">
        <v>27.5</v>
      </c>
      <c r="AS102" s="28">
        <v>25</v>
      </c>
      <c r="AT102" s="28">
        <v>25</v>
      </c>
      <c r="AU102" s="28">
        <v>25</v>
      </c>
      <c r="AV102" s="28">
        <v>25</v>
      </c>
      <c r="AW102" s="28">
        <v>25</v>
      </c>
    </row>
    <row r="103" spans="2:49">
      <c r="B103" s="1" t="s">
        <v>294</v>
      </c>
      <c r="C103" s="1" t="s">
        <v>295</v>
      </c>
      <c r="D103" s="1" t="s">
        <v>11</v>
      </c>
      <c r="E103" s="1" t="s">
        <v>788</v>
      </c>
      <c r="F103" s="28">
        <v>17</v>
      </c>
      <c r="G103" s="28">
        <v>17</v>
      </c>
      <c r="H103" s="28">
        <v>16.5</v>
      </c>
      <c r="I103" s="28">
        <v>16.5</v>
      </c>
      <c r="J103" s="28">
        <v>16.5</v>
      </c>
      <c r="K103" s="28">
        <v>18.5</v>
      </c>
      <c r="L103" s="28">
        <v>18.5</v>
      </c>
      <c r="M103" s="28">
        <v>18.5</v>
      </c>
      <c r="N103" s="28">
        <v>18</v>
      </c>
      <c r="O103" s="28">
        <v>17</v>
      </c>
      <c r="P103" s="28">
        <v>16.5</v>
      </c>
      <c r="Q103" s="28">
        <v>16.5</v>
      </c>
      <c r="R103" s="28">
        <v>16.5</v>
      </c>
      <c r="S103" s="28">
        <v>17.5</v>
      </c>
      <c r="T103" s="28">
        <v>17.5</v>
      </c>
      <c r="U103" s="28">
        <v>16.5</v>
      </c>
      <c r="V103" s="28">
        <v>16.5</v>
      </c>
      <c r="W103" s="28">
        <v>16.5</v>
      </c>
      <c r="X103" s="28">
        <v>16.5</v>
      </c>
      <c r="Y103" s="28">
        <v>16</v>
      </c>
      <c r="Z103" s="28">
        <v>16</v>
      </c>
      <c r="AA103" s="28">
        <v>16</v>
      </c>
      <c r="AB103" s="28">
        <v>16</v>
      </c>
      <c r="AC103" s="28">
        <v>16</v>
      </c>
      <c r="AD103" s="28">
        <v>17.5</v>
      </c>
      <c r="AE103" s="28">
        <v>17.5</v>
      </c>
      <c r="AF103" s="28">
        <v>17.5</v>
      </c>
      <c r="AG103" s="28">
        <v>17.5</v>
      </c>
      <c r="AH103" s="28">
        <v>16.5</v>
      </c>
      <c r="AI103" s="28">
        <v>16.5</v>
      </c>
      <c r="AJ103" s="28">
        <v>16.5</v>
      </c>
      <c r="AK103" s="28">
        <v>16.5</v>
      </c>
      <c r="AL103" s="28">
        <v>16.5</v>
      </c>
      <c r="AM103" s="28">
        <v>16.5</v>
      </c>
      <c r="AN103" s="28">
        <v>16.5</v>
      </c>
      <c r="AO103" s="28">
        <v>16.5</v>
      </c>
      <c r="AP103" s="28">
        <v>16.5</v>
      </c>
      <c r="AQ103" s="28">
        <v>16.5</v>
      </c>
      <c r="AR103" s="28">
        <v>16.5</v>
      </c>
      <c r="AS103" s="28">
        <v>16.5</v>
      </c>
      <c r="AT103" s="28">
        <v>16.5</v>
      </c>
      <c r="AU103" s="28">
        <v>16.5</v>
      </c>
      <c r="AV103" s="28">
        <v>16.5</v>
      </c>
      <c r="AW103" s="28">
        <v>16.5</v>
      </c>
    </row>
    <row r="104" spans="2:49">
      <c r="B104" s="1" t="s">
        <v>296</v>
      </c>
      <c r="C104" s="1" t="s">
        <v>297</v>
      </c>
      <c r="D104" s="1" t="s">
        <v>29</v>
      </c>
      <c r="E104" s="1" t="s">
        <v>298</v>
      </c>
      <c r="F104" s="28" t="s">
        <v>8</v>
      </c>
      <c r="G104" s="28" t="s">
        <v>8</v>
      </c>
      <c r="H104" s="28" t="s">
        <v>8</v>
      </c>
      <c r="I104" s="28" t="s">
        <v>8</v>
      </c>
      <c r="J104" s="28" t="s">
        <v>8</v>
      </c>
      <c r="K104" s="28" t="s">
        <v>8</v>
      </c>
      <c r="L104" s="28" t="s">
        <v>8</v>
      </c>
      <c r="M104" s="28" t="s">
        <v>8</v>
      </c>
      <c r="N104" s="28" t="s">
        <v>8</v>
      </c>
      <c r="O104" s="28" t="s">
        <v>8</v>
      </c>
      <c r="P104" s="28" t="s">
        <v>8</v>
      </c>
      <c r="Q104" s="28" t="s">
        <v>8</v>
      </c>
      <c r="R104" s="28" t="s">
        <v>8</v>
      </c>
      <c r="S104" s="28" t="s">
        <v>8</v>
      </c>
      <c r="T104" s="28" t="s">
        <v>8</v>
      </c>
      <c r="U104" s="28" t="s">
        <v>8</v>
      </c>
      <c r="V104" s="28" t="s">
        <v>8</v>
      </c>
      <c r="W104" s="28" t="s">
        <v>8</v>
      </c>
      <c r="X104" s="28" t="s">
        <v>8</v>
      </c>
      <c r="Y104" s="28" t="s">
        <v>8</v>
      </c>
      <c r="Z104" s="28" t="s">
        <v>8</v>
      </c>
      <c r="AA104" s="28" t="s">
        <v>8</v>
      </c>
      <c r="AB104" s="28" t="s">
        <v>8</v>
      </c>
      <c r="AC104" s="28" t="s">
        <v>8</v>
      </c>
      <c r="AD104" s="28" t="s">
        <v>8</v>
      </c>
      <c r="AE104" s="28" t="s">
        <v>8</v>
      </c>
      <c r="AF104" s="28" t="s">
        <v>8</v>
      </c>
      <c r="AG104" s="28" t="s">
        <v>8</v>
      </c>
      <c r="AH104" s="28" t="s">
        <v>8</v>
      </c>
      <c r="AI104" s="28" t="s">
        <v>8</v>
      </c>
      <c r="AJ104" s="28" t="s">
        <v>8</v>
      </c>
      <c r="AK104" s="28" t="s">
        <v>8</v>
      </c>
      <c r="AL104" s="28" t="s">
        <v>8</v>
      </c>
      <c r="AM104" s="28" t="s">
        <v>8</v>
      </c>
      <c r="AN104" s="28" t="s">
        <v>8</v>
      </c>
      <c r="AO104" s="28" t="s">
        <v>8</v>
      </c>
      <c r="AP104" s="28" t="s">
        <v>8</v>
      </c>
      <c r="AQ104" s="28" t="s">
        <v>8</v>
      </c>
      <c r="AR104" s="28" t="s">
        <v>8</v>
      </c>
      <c r="AS104" s="28" t="s">
        <v>8</v>
      </c>
      <c r="AT104" s="28" t="s">
        <v>8</v>
      </c>
      <c r="AU104" s="28" t="s">
        <v>8</v>
      </c>
      <c r="AV104" s="28" t="s">
        <v>8</v>
      </c>
      <c r="AW104" s="28" t="s">
        <v>8</v>
      </c>
    </row>
    <row r="105" spans="2:49">
      <c r="B105" s="1" t="s">
        <v>299</v>
      </c>
      <c r="C105" s="1" t="s">
        <v>300</v>
      </c>
      <c r="D105" s="1" t="s">
        <v>6</v>
      </c>
      <c r="E105" s="1" t="s">
        <v>301</v>
      </c>
      <c r="F105" s="28">
        <v>40</v>
      </c>
      <c r="G105" s="28">
        <v>40</v>
      </c>
      <c r="H105" s="28">
        <v>40</v>
      </c>
      <c r="I105" s="28">
        <v>40</v>
      </c>
      <c r="J105" s="28">
        <v>40</v>
      </c>
      <c r="K105" s="28">
        <v>40</v>
      </c>
      <c r="L105" s="28">
        <v>40</v>
      </c>
      <c r="M105" s="28">
        <v>40</v>
      </c>
      <c r="N105" s="28">
        <v>40</v>
      </c>
      <c r="O105" s="28">
        <v>40</v>
      </c>
      <c r="P105" s="28">
        <v>35</v>
      </c>
      <c r="Q105" s="28">
        <v>35</v>
      </c>
      <c r="R105" s="28">
        <v>35</v>
      </c>
      <c r="S105" s="28">
        <v>35</v>
      </c>
      <c r="T105" s="28">
        <v>35</v>
      </c>
      <c r="U105" s="28">
        <v>35</v>
      </c>
      <c r="V105" s="28">
        <v>35</v>
      </c>
      <c r="W105" s="28">
        <v>40.25</v>
      </c>
      <c r="X105" s="28">
        <v>40.25</v>
      </c>
      <c r="Y105" s="28">
        <v>25</v>
      </c>
      <c r="Z105" s="28">
        <v>25</v>
      </c>
      <c r="AA105" s="28">
        <v>25</v>
      </c>
      <c r="AB105" s="28">
        <v>25</v>
      </c>
      <c r="AC105" s="28">
        <v>30</v>
      </c>
      <c r="AD105" s="28">
        <v>30</v>
      </c>
      <c r="AE105" s="28">
        <v>30</v>
      </c>
      <c r="AF105" s="28">
        <v>30</v>
      </c>
      <c r="AG105" s="28">
        <v>30</v>
      </c>
      <c r="AH105" s="28">
        <v>30</v>
      </c>
      <c r="AI105" s="28">
        <v>30</v>
      </c>
      <c r="AJ105" s="28">
        <v>35</v>
      </c>
      <c r="AK105" s="28">
        <v>30</v>
      </c>
      <c r="AL105" s="28">
        <v>31</v>
      </c>
      <c r="AM105" s="28">
        <v>30</v>
      </c>
      <c r="AN105" s="28">
        <v>30</v>
      </c>
      <c r="AO105" s="28">
        <v>30</v>
      </c>
      <c r="AP105" s="28">
        <v>30</v>
      </c>
      <c r="AQ105" s="28">
        <v>30</v>
      </c>
      <c r="AR105" s="28">
        <v>30</v>
      </c>
      <c r="AS105" s="28">
        <v>30</v>
      </c>
      <c r="AT105" s="28">
        <v>30</v>
      </c>
      <c r="AU105" s="28">
        <v>30</v>
      </c>
      <c r="AV105" s="28">
        <v>30</v>
      </c>
      <c r="AW105" s="28">
        <v>30</v>
      </c>
    </row>
    <row r="106" spans="2:49">
      <c r="B106" s="1" t="s">
        <v>302</v>
      </c>
      <c r="C106" s="1" t="s">
        <v>303</v>
      </c>
      <c r="D106" s="1" t="s">
        <v>21</v>
      </c>
      <c r="E106" s="1" t="s">
        <v>304</v>
      </c>
      <c r="F106" s="28" t="s">
        <v>8</v>
      </c>
      <c r="G106" s="28" t="s">
        <v>8</v>
      </c>
      <c r="H106" s="28" t="s">
        <v>8</v>
      </c>
      <c r="I106" s="28" t="s">
        <v>8</v>
      </c>
      <c r="J106" s="28" t="s">
        <v>8</v>
      </c>
      <c r="K106" s="28" t="s">
        <v>8</v>
      </c>
      <c r="L106" s="28" t="s">
        <v>8</v>
      </c>
      <c r="M106" s="28" t="s">
        <v>8</v>
      </c>
      <c r="N106" s="28" t="s">
        <v>8</v>
      </c>
      <c r="O106" s="28" t="s">
        <v>8</v>
      </c>
      <c r="P106" s="28" t="s">
        <v>8</v>
      </c>
      <c r="Q106" s="28" t="s">
        <v>8</v>
      </c>
      <c r="R106" s="28" t="s">
        <v>8</v>
      </c>
      <c r="S106" s="28" t="s">
        <v>8</v>
      </c>
      <c r="T106" s="28" t="s">
        <v>8</v>
      </c>
      <c r="U106" s="28" t="s">
        <v>8</v>
      </c>
      <c r="V106" s="28">
        <v>25</v>
      </c>
      <c r="W106" s="28">
        <v>25</v>
      </c>
      <c r="X106" s="28">
        <v>35</v>
      </c>
      <c r="Y106" s="28">
        <v>35</v>
      </c>
      <c r="Z106" s="28">
        <v>35</v>
      </c>
      <c r="AA106" s="28">
        <v>20</v>
      </c>
      <c r="AB106" s="28">
        <v>20</v>
      </c>
      <c r="AC106" s="28">
        <v>20.32</v>
      </c>
      <c r="AD106" s="28">
        <v>20.32</v>
      </c>
      <c r="AE106" s="28">
        <v>20.23</v>
      </c>
      <c r="AF106" s="28">
        <v>20</v>
      </c>
      <c r="AG106" s="28">
        <v>20</v>
      </c>
      <c r="AH106" s="28">
        <v>20</v>
      </c>
      <c r="AI106" s="28">
        <v>20</v>
      </c>
      <c r="AJ106" s="28">
        <v>20</v>
      </c>
      <c r="AK106" s="28">
        <v>20</v>
      </c>
      <c r="AL106" s="28">
        <v>20</v>
      </c>
      <c r="AM106" s="28">
        <v>20</v>
      </c>
      <c r="AN106" s="28">
        <v>20</v>
      </c>
      <c r="AO106" s="28">
        <v>20</v>
      </c>
      <c r="AP106" s="28">
        <v>20</v>
      </c>
      <c r="AQ106" s="28">
        <v>18</v>
      </c>
      <c r="AR106" s="28">
        <v>18</v>
      </c>
      <c r="AS106" s="28">
        <v>18</v>
      </c>
      <c r="AT106" s="28">
        <v>18</v>
      </c>
      <c r="AU106" s="28">
        <v>18</v>
      </c>
      <c r="AV106" s="28">
        <v>18</v>
      </c>
      <c r="AW106" s="28">
        <v>18</v>
      </c>
    </row>
    <row r="107" spans="2:49">
      <c r="B107" s="1" t="s">
        <v>305</v>
      </c>
      <c r="C107" s="1" t="s">
        <v>306</v>
      </c>
      <c r="D107" s="1" t="s">
        <v>6</v>
      </c>
      <c r="E107" s="1" t="s">
        <v>307</v>
      </c>
      <c r="F107" s="28" t="s">
        <v>8</v>
      </c>
      <c r="G107" s="28" t="s">
        <v>8</v>
      </c>
      <c r="H107" s="28" t="s">
        <v>8</v>
      </c>
      <c r="I107" s="28" t="s">
        <v>8</v>
      </c>
      <c r="J107" s="28" t="s">
        <v>8</v>
      </c>
      <c r="K107" s="28" t="s">
        <v>8</v>
      </c>
      <c r="L107" s="28">
        <v>50</v>
      </c>
      <c r="M107" s="28">
        <v>30</v>
      </c>
      <c r="N107" s="28">
        <v>30</v>
      </c>
      <c r="O107" s="28">
        <v>35</v>
      </c>
      <c r="P107" s="28">
        <v>35</v>
      </c>
      <c r="Q107" s="28" t="s">
        <v>8</v>
      </c>
      <c r="R107" s="28" t="s">
        <v>8</v>
      </c>
      <c r="S107" s="28" t="s">
        <v>8</v>
      </c>
      <c r="T107" s="28" t="s">
        <v>8</v>
      </c>
      <c r="U107" s="28">
        <v>35</v>
      </c>
      <c r="V107" s="28">
        <v>35</v>
      </c>
      <c r="W107" s="28">
        <v>35</v>
      </c>
      <c r="X107" s="28">
        <v>35</v>
      </c>
      <c r="Y107" s="28">
        <v>35</v>
      </c>
      <c r="Z107" s="28">
        <v>35</v>
      </c>
      <c r="AA107" s="28">
        <v>35</v>
      </c>
      <c r="AB107" s="28">
        <v>35</v>
      </c>
      <c r="AC107" s="28">
        <v>0</v>
      </c>
      <c r="AD107" s="28">
        <v>0</v>
      </c>
      <c r="AE107" s="28">
        <v>0</v>
      </c>
      <c r="AF107" s="28">
        <v>0</v>
      </c>
      <c r="AG107" s="28">
        <v>0</v>
      </c>
      <c r="AH107" s="28">
        <v>0</v>
      </c>
      <c r="AI107" s="28">
        <v>0</v>
      </c>
      <c r="AJ107" s="28">
        <v>0</v>
      </c>
      <c r="AK107" s="28">
        <v>30</v>
      </c>
      <c r="AL107" s="28">
        <v>30</v>
      </c>
      <c r="AM107" s="28">
        <v>30</v>
      </c>
      <c r="AN107" s="28">
        <v>30</v>
      </c>
      <c r="AO107" s="28">
        <v>30</v>
      </c>
      <c r="AP107" s="28">
        <v>30</v>
      </c>
      <c r="AQ107" s="28">
        <v>30</v>
      </c>
      <c r="AR107" s="28">
        <v>30</v>
      </c>
      <c r="AS107" s="28">
        <v>30</v>
      </c>
      <c r="AT107" s="28">
        <v>30</v>
      </c>
      <c r="AU107" s="28">
        <v>30</v>
      </c>
      <c r="AV107" s="28">
        <v>30</v>
      </c>
      <c r="AW107" s="28">
        <v>30</v>
      </c>
    </row>
    <row r="108" spans="2:49">
      <c r="B108" s="1" t="s">
        <v>308</v>
      </c>
      <c r="C108" s="1" t="s">
        <v>309</v>
      </c>
      <c r="D108" s="1" t="s">
        <v>21</v>
      </c>
      <c r="E108" s="1" t="s">
        <v>310</v>
      </c>
      <c r="F108" s="28" t="s">
        <v>8</v>
      </c>
      <c r="G108" s="28" t="s">
        <v>8</v>
      </c>
      <c r="H108" s="28" t="s">
        <v>8</v>
      </c>
      <c r="I108" s="28" t="s">
        <v>8</v>
      </c>
      <c r="J108" s="28" t="s">
        <v>8</v>
      </c>
      <c r="K108" s="28" t="s">
        <v>8</v>
      </c>
      <c r="L108" s="28" t="s">
        <v>8</v>
      </c>
      <c r="M108" s="28" t="s">
        <v>8</v>
      </c>
      <c r="N108" s="28" t="s">
        <v>8</v>
      </c>
      <c r="O108" s="28">
        <v>50</v>
      </c>
      <c r="P108" s="28">
        <v>40</v>
      </c>
      <c r="Q108" s="28">
        <v>40</v>
      </c>
      <c r="R108" s="28">
        <v>40</v>
      </c>
      <c r="S108" s="28">
        <v>40</v>
      </c>
      <c r="T108" s="28">
        <v>36</v>
      </c>
      <c r="U108" s="28">
        <v>18</v>
      </c>
      <c r="V108" s="28">
        <v>18</v>
      </c>
      <c r="W108" s="28">
        <v>18</v>
      </c>
      <c r="X108" s="28">
        <v>18</v>
      </c>
      <c r="Y108" s="28">
        <v>18</v>
      </c>
      <c r="Z108" s="28">
        <v>18</v>
      </c>
      <c r="AA108" s="28">
        <v>18</v>
      </c>
      <c r="AB108" s="28">
        <v>18</v>
      </c>
      <c r="AC108" s="28">
        <v>18</v>
      </c>
      <c r="AD108" s="28">
        <v>16</v>
      </c>
      <c r="AE108" s="28">
        <v>16</v>
      </c>
      <c r="AF108" s="28">
        <v>17.329999999999998</v>
      </c>
      <c r="AG108" s="28">
        <v>20</v>
      </c>
      <c r="AH108" s="28">
        <v>20</v>
      </c>
      <c r="AI108" s="28">
        <v>20</v>
      </c>
      <c r="AJ108" s="28">
        <v>19</v>
      </c>
      <c r="AK108" s="28">
        <v>19</v>
      </c>
      <c r="AL108" s="28">
        <v>19</v>
      </c>
      <c r="AM108" s="28">
        <v>19</v>
      </c>
      <c r="AN108" s="28">
        <v>19</v>
      </c>
      <c r="AO108" s="28">
        <v>19</v>
      </c>
      <c r="AP108" s="28">
        <v>19</v>
      </c>
      <c r="AQ108" s="28">
        <v>9</v>
      </c>
      <c r="AR108" s="28">
        <v>9</v>
      </c>
      <c r="AS108" s="28">
        <v>9</v>
      </c>
      <c r="AT108" s="28">
        <v>9</v>
      </c>
      <c r="AU108" s="28">
        <v>9</v>
      </c>
      <c r="AV108" s="28">
        <v>9</v>
      </c>
      <c r="AW108" s="28">
        <v>9</v>
      </c>
    </row>
    <row r="109" spans="2:49">
      <c r="B109" s="1" t="s">
        <v>311</v>
      </c>
      <c r="C109" s="1" t="s">
        <v>312</v>
      </c>
      <c r="D109" s="1" t="s">
        <v>11</v>
      </c>
      <c r="E109" s="1" t="s">
        <v>313</v>
      </c>
      <c r="F109" s="28">
        <v>45</v>
      </c>
      <c r="G109" s="28">
        <v>45</v>
      </c>
      <c r="H109" s="28">
        <v>45</v>
      </c>
      <c r="I109" s="28">
        <v>45</v>
      </c>
      <c r="J109" s="28">
        <v>35</v>
      </c>
      <c r="K109" s="28">
        <v>35</v>
      </c>
      <c r="L109" s="28">
        <v>35</v>
      </c>
      <c r="M109" s="28">
        <v>35</v>
      </c>
      <c r="N109" s="28">
        <v>35</v>
      </c>
      <c r="O109" s="28">
        <v>35</v>
      </c>
      <c r="P109" s="28">
        <v>35</v>
      </c>
      <c r="Q109" s="28">
        <v>35</v>
      </c>
      <c r="R109" s="28">
        <v>35</v>
      </c>
      <c r="S109" s="28">
        <v>35</v>
      </c>
      <c r="T109" s="28">
        <v>35</v>
      </c>
      <c r="U109" s="28">
        <v>30</v>
      </c>
      <c r="V109" s="28">
        <v>30</v>
      </c>
      <c r="W109" s="28">
        <v>30</v>
      </c>
      <c r="X109" s="28">
        <v>30</v>
      </c>
      <c r="Y109" s="28">
        <v>30</v>
      </c>
      <c r="Z109" s="28">
        <v>30</v>
      </c>
      <c r="AA109" s="28">
        <v>30</v>
      </c>
      <c r="AB109" s="28">
        <v>30</v>
      </c>
      <c r="AC109" s="28">
        <v>30</v>
      </c>
      <c r="AD109" s="28">
        <v>30</v>
      </c>
      <c r="AE109" s="28">
        <v>30</v>
      </c>
      <c r="AF109" s="28">
        <v>30</v>
      </c>
      <c r="AG109" s="28">
        <v>30</v>
      </c>
      <c r="AH109" s="28">
        <v>30</v>
      </c>
      <c r="AI109" s="28">
        <v>28</v>
      </c>
      <c r="AJ109" s="28">
        <v>25</v>
      </c>
      <c r="AK109" s="28">
        <v>25</v>
      </c>
      <c r="AL109" s="28">
        <v>25</v>
      </c>
      <c r="AM109" s="28">
        <v>25</v>
      </c>
      <c r="AN109" s="28">
        <v>25</v>
      </c>
      <c r="AO109" s="28">
        <v>25</v>
      </c>
      <c r="AP109" s="28">
        <v>25</v>
      </c>
      <c r="AQ109" s="28">
        <v>25</v>
      </c>
      <c r="AR109" s="28">
        <v>25</v>
      </c>
      <c r="AS109" s="28">
        <v>25</v>
      </c>
      <c r="AT109" s="28">
        <v>25</v>
      </c>
      <c r="AU109" s="28">
        <v>22</v>
      </c>
      <c r="AV109" s="28">
        <v>22</v>
      </c>
      <c r="AW109" s="28">
        <v>22</v>
      </c>
    </row>
    <row r="110" spans="2:49">
      <c r="B110" s="1" t="s">
        <v>314</v>
      </c>
      <c r="C110" s="1" t="s">
        <v>315</v>
      </c>
      <c r="D110" s="1" t="s">
        <v>21</v>
      </c>
      <c r="E110" s="1" t="s">
        <v>316</v>
      </c>
      <c r="F110" s="28" t="s">
        <v>8</v>
      </c>
      <c r="G110" s="28" t="s">
        <v>8</v>
      </c>
      <c r="H110" s="28" t="s">
        <v>8</v>
      </c>
      <c r="I110" s="28" t="s">
        <v>8</v>
      </c>
      <c r="J110" s="28" t="s">
        <v>8</v>
      </c>
      <c r="K110" s="28" t="s">
        <v>8</v>
      </c>
      <c r="L110" s="28" t="s">
        <v>8</v>
      </c>
      <c r="M110" s="28" t="s">
        <v>8</v>
      </c>
      <c r="N110" s="28">
        <v>20</v>
      </c>
      <c r="O110" s="28">
        <v>20</v>
      </c>
      <c r="P110" s="28">
        <v>20</v>
      </c>
      <c r="Q110" s="28">
        <v>20</v>
      </c>
      <c r="R110" s="28">
        <v>20</v>
      </c>
      <c r="S110" s="28">
        <v>20</v>
      </c>
      <c r="T110" s="28">
        <v>20</v>
      </c>
      <c r="U110" s="28">
        <v>20</v>
      </c>
      <c r="V110" s="28">
        <v>20</v>
      </c>
      <c r="W110" s="28">
        <v>20</v>
      </c>
      <c r="X110" s="28">
        <v>20</v>
      </c>
      <c r="Y110" s="28">
        <v>20</v>
      </c>
      <c r="Z110" s="28">
        <v>20</v>
      </c>
      <c r="AA110" s="28">
        <v>20</v>
      </c>
      <c r="AB110" s="28">
        <v>18</v>
      </c>
      <c r="AC110" s="28">
        <v>15</v>
      </c>
      <c r="AD110" s="28">
        <v>15</v>
      </c>
      <c r="AE110" s="28">
        <v>15</v>
      </c>
      <c r="AF110" s="28">
        <v>15</v>
      </c>
      <c r="AG110" s="28">
        <v>0</v>
      </c>
      <c r="AH110" s="28">
        <v>0</v>
      </c>
      <c r="AI110" s="28">
        <v>0</v>
      </c>
      <c r="AJ110" s="28">
        <v>0</v>
      </c>
      <c r="AK110" s="28">
        <v>0</v>
      </c>
      <c r="AL110" s="28">
        <v>0</v>
      </c>
      <c r="AM110" s="28">
        <v>0</v>
      </c>
      <c r="AN110" s="28">
        <v>0</v>
      </c>
      <c r="AO110" s="28">
        <v>0</v>
      </c>
      <c r="AP110" s="28">
        <v>0</v>
      </c>
      <c r="AQ110" s="28">
        <v>0</v>
      </c>
      <c r="AR110" s="28">
        <v>0</v>
      </c>
      <c r="AS110" s="28">
        <v>0</v>
      </c>
      <c r="AT110" s="28">
        <v>0</v>
      </c>
      <c r="AU110" s="28">
        <v>0</v>
      </c>
      <c r="AV110" s="28">
        <v>0</v>
      </c>
      <c r="AW110" s="28">
        <v>0</v>
      </c>
    </row>
    <row r="111" spans="2:49">
      <c r="B111" s="1" t="s">
        <v>317</v>
      </c>
      <c r="C111" s="1" t="s">
        <v>318</v>
      </c>
      <c r="D111" s="1" t="s">
        <v>11</v>
      </c>
      <c r="E111" s="1" t="s">
        <v>319</v>
      </c>
      <c r="F111" s="28">
        <v>60</v>
      </c>
      <c r="G111" s="28">
        <v>59.1</v>
      </c>
      <c r="H111" s="28">
        <v>56.4</v>
      </c>
      <c r="I111" s="28">
        <v>56.4</v>
      </c>
      <c r="J111" s="28">
        <v>55</v>
      </c>
      <c r="K111" s="28">
        <v>55</v>
      </c>
      <c r="L111" s="28">
        <v>50</v>
      </c>
      <c r="M111" s="28">
        <v>50</v>
      </c>
      <c r="N111" s="28">
        <v>50</v>
      </c>
      <c r="O111" s="28">
        <v>50</v>
      </c>
      <c r="P111" s="28">
        <v>50</v>
      </c>
      <c r="Q111" s="28">
        <v>40</v>
      </c>
      <c r="R111" s="28">
        <v>45</v>
      </c>
      <c r="S111" s="28">
        <v>45</v>
      </c>
      <c r="T111" s="28">
        <v>45</v>
      </c>
      <c r="U111" s="28">
        <v>40</v>
      </c>
      <c r="V111" s="28">
        <v>40</v>
      </c>
      <c r="W111" s="28">
        <v>35</v>
      </c>
      <c r="X111" s="28">
        <v>35</v>
      </c>
      <c r="Y111" s="28">
        <v>35</v>
      </c>
      <c r="Z111" s="28">
        <v>38.5</v>
      </c>
      <c r="AA111" s="28">
        <v>39.549999999999997</v>
      </c>
      <c r="AB111" s="28">
        <v>35.700000000000003</v>
      </c>
      <c r="AC111" s="28">
        <v>36.75</v>
      </c>
      <c r="AD111" s="28">
        <v>35.875</v>
      </c>
      <c r="AE111" s="28">
        <v>36.593499999999999</v>
      </c>
      <c r="AF111" s="28">
        <v>33.659999999999997</v>
      </c>
      <c r="AG111" s="28">
        <v>33.99</v>
      </c>
      <c r="AH111" s="28">
        <v>33.99</v>
      </c>
      <c r="AI111" s="28">
        <v>33.99</v>
      </c>
      <c r="AJ111" s="28">
        <v>33.99</v>
      </c>
      <c r="AK111" s="28">
        <v>32.44</v>
      </c>
      <c r="AL111" s="28">
        <v>32.450000000000003</v>
      </c>
      <c r="AM111" s="28">
        <v>33.99</v>
      </c>
      <c r="AN111" s="28">
        <v>33.99</v>
      </c>
      <c r="AO111" s="28">
        <v>34.61</v>
      </c>
      <c r="AP111" s="28">
        <v>34.61</v>
      </c>
      <c r="AQ111" s="28">
        <v>34.61</v>
      </c>
      <c r="AR111" s="28">
        <v>35</v>
      </c>
      <c r="AS111" s="28">
        <v>30</v>
      </c>
      <c r="AT111" s="28">
        <v>30</v>
      </c>
      <c r="AU111" s="28">
        <v>30</v>
      </c>
      <c r="AV111" s="28">
        <v>30</v>
      </c>
      <c r="AW111" s="28">
        <v>30</v>
      </c>
    </row>
    <row r="112" spans="2:49">
      <c r="B112" s="1" t="s">
        <v>320</v>
      </c>
      <c r="C112" s="1" t="s">
        <v>321</v>
      </c>
      <c r="D112" s="1" t="s">
        <v>11</v>
      </c>
      <c r="E112" s="1" t="s">
        <v>322</v>
      </c>
      <c r="F112" s="28" t="s">
        <v>8</v>
      </c>
      <c r="G112" s="28" t="s">
        <v>8</v>
      </c>
      <c r="H112" s="28" t="s">
        <v>8</v>
      </c>
      <c r="I112" s="28" t="s">
        <v>8</v>
      </c>
      <c r="J112" s="28" t="s">
        <v>8</v>
      </c>
      <c r="K112" s="28" t="s">
        <v>8</v>
      </c>
      <c r="L112" s="28" t="s">
        <v>8</v>
      </c>
      <c r="M112" s="28" t="s">
        <v>8</v>
      </c>
      <c r="N112" s="28" t="s">
        <v>8</v>
      </c>
      <c r="O112" s="28" t="s">
        <v>8</v>
      </c>
      <c r="P112" s="28" t="s">
        <v>8</v>
      </c>
      <c r="Q112" s="28" t="s">
        <v>8</v>
      </c>
      <c r="R112" s="28" t="s">
        <v>8</v>
      </c>
      <c r="S112" s="28" t="s">
        <v>8</v>
      </c>
      <c r="T112" s="28" t="s">
        <v>8</v>
      </c>
      <c r="U112" s="28" t="s">
        <v>8</v>
      </c>
      <c r="V112" s="28" t="s">
        <v>8</v>
      </c>
      <c r="W112" s="28" t="s">
        <v>8</v>
      </c>
      <c r="X112" s="28" t="s">
        <v>8</v>
      </c>
      <c r="Y112" s="28" t="s">
        <v>8</v>
      </c>
      <c r="Z112" s="28" t="s">
        <v>8</v>
      </c>
      <c r="AA112" s="28" t="s">
        <v>8</v>
      </c>
      <c r="AB112" s="28" t="s">
        <v>8</v>
      </c>
      <c r="AC112" s="28" t="s">
        <v>8</v>
      </c>
      <c r="AD112" s="28" t="s">
        <v>8</v>
      </c>
      <c r="AE112" s="28" t="s">
        <v>8</v>
      </c>
      <c r="AF112" s="28" t="s">
        <v>8</v>
      </c>
      <c r="AG112" s="28" t="s">
        <v>8</v>
      </c>
      <c r="AH112" s="28" t="s">
        <v>8</v>
      </c>
      <c r="AI112" s="28" t="s">
        <v>8</v>
      </c>
      <c r="AJ112" s="28" t="s">
        <v>8</v>
      </c>
      <c r="AK112" s="28" t="s">
        <v>8</v>
      </c>
      <c r="AL112" s="28" t="s">
        <v>8</v>
      </c>
      <c r="AM112" s="28" t="s">
        <v>8</v>
      </c>
      <c r="AN112" s="28" t="s">
        <v>8</v>
      </c>
      <c r="AO112" s="28" t="s">
        <v>8</v>
      </c>
      <c r="AP112" s="28" t="s">
        <v>8</v>
      </c>
      <c r="AQ112" s="28" t="s">
        <v>8</v>
      </c>
      <c r="AR112" s="28" t="s">
        <v>8</v>
      </c>
      <c r="AS112" s="28" t="s">
        <v>8</v>
      </c>
      <c r="AT112" s="28" t="s">
        <v>8</v>
      </c>
      <c r="AU112" s="28" t="s">
        <v>8</v>
      </c>
      <c r="AV112" s="28" t="s">
        <v>8</v>
      </c>
      <c r="AW112" s="28" t="s">
        <v>8</v>
      </c>
    </row>
    <row r="113" spans="2:49">
      <c r="B113" s="1" t="s">
        <v>323</v>
      </c>
      <c r="C113" s="1" t="s">
        <v>324</v>
      </c>
      <c r="D113" s="1" t="s">
        <v>21</v>
      </c>
      <c r="E113" s="1" t="s">
        <v>325</v>
      </c>
      <c r="F113" s="28">
        <v>45</v>
      </c>
      <c r="G113" s="28">
        <v>45</v>
      </c>
      <c r="H113" s="28">
        <v>50</v>
      </c>
      <c r="I113" s="28">
        <v>50</v>
      </c>
      <c r="J113" s="28">
        <v>50</v>
      </c>
      <c r="K113" s="28">
        <v>50</v>
      </c>
      <c r="L113" s="28">
        <v>50</v>
      </c>
      <c r="M113" s="28">
        <v>50</v>
      </c>
      <c r="N113" s="28">
        <v>47</v>
      </c>
      <c r="O113" s="28">
        <v>43</v>
      </c>
      <c r="P113" s="28">
        <v>43</v>
      </c>
      <c r="Q113" s="28">
        <v>40</v>
      </c>
      <c r="R113" s="28">
        <v>40</v>
      </c>
      <c r="S113" s="28">
        <v>40</v>
      </c>
      <c r="T113" s="28">
        <v>40</v>
      </c>
      <c r="U113" s="28">
        <v>38</v>
      </c>
      <c r="V113" s="28">
        <v>36</v>
      </c>
      <c r="W113" s="28">
        <v>36</v>
      </c>
      <c r="X113" s="28">
        <v>32</v>
      </c>
      <c r="Y113" s="28">
        <v>28</v>
      </c>
      <c r="Z113" s="28">
        <v>24</v>
      </c>
      <c r="AA113" s="28">
        <v>20</v>
      </c>
      <c r="AB113" s="28">
        <v>16</v>
      </c>
      <c r="AC113" s="28">
        <v>12.5</v>
      </c>
      <c r="AD113" s="28">
        <v>12.5</v>
      </c>
      <c r="AE113" s="28">
        <v>12.5</v>
      </c>
      <c r="AF113" s="28">
        <v>12.5</v>
      </c>
      <c r="AG113" s="28">
        <v>12.5</v>
      </c>
      <c r="AH113" s="28">
        <v>12.5</v>
      </c>
      <c r="AI113" s="28">
        <v>12.5</v>
      </c>
      <c r="AJ113" s="28">
        <v>12.5</v>
      </c>
      <c r="AK113" s="28">
        <v>12.5</v>
      </c>
      <c r="AL113" s="28">
        <v>12.5</v>
      </c>
      <c r="AM113" s="28">
        <v>12.5</v>
      </c>
      <c r="AN113" s="28">
        <v>12.5</v>
      </c>
      <c r="AO113" s="28">
        <v>12.5</v>
      </c>
      <c r="AP113" s="28">
        <v>12.5</v>
      </c>
      <c r="AQ113" s="28">
        <v>12.5</v>
      </c>
      <c r="AR113" s="28">
        <v>12.5</v>
      </c>
      <c r="AS113" s="28">
        <v>12.5</v>
      </c>
      <c r="AT113" s="28">
        <v>12.5</v>
      </c>
      <c r="AU113" s="28">
        <v>12.5</v>
      </c>
      <c r="AV113" s="28">
        <v>12.5</v>
      </c>
      <c r="AW113" s="28">
        <v>12.5</v>
      </c>
    </row>
    <row r="114" spans="2:49">
      <c r="B114" s="1" t="s">
        <v>326</v>
      </c>
      <c r="C114" s="1" t="s">
        <v>327</v>
      </c>
      <c r="D114" s="1" t="s">
        <v>11</v>
      </c>
      <c r="E114" s="1" t="s">
        <v>328</v>
      </c>
      <c r="F114" s="28" t="s">
        <v>8</v>
      </c>
      <c r="G114" s="28">
        <v>55</v>
      </c>
      <c r="H114" s="28">
        <v>55</v>
      </c>
      <c r="I114" s="28">
        <v>55</v>
      </c>
      <c r="J114" s="28">
        <v>55</v>
      </c>
      <c r="K114" s="28">
        <v>55</v>
      </c>
      <c r="L114" s="28">
        <v>55</v>
      </c>
      <c r="M114" s="28">
        <v>55</v>
      </c>
      <c r="N114" s="28">
        <v>55</v>
      </c>
      <c r="O114" s="28">
        <v>55</v>
      </c>
      <c r="P114" s="28">
        <v>75</v>
      </c>
      <c r="Q114" s="28">
        <v>75</v>
      </c>
      <c r="R114" s="28">
        <v>75</v>
      </c>
      <c r="S114" s="28">
        <v>54</v>
      </c>
      <c r="T114" s="28">
        <v>54</v>
      </c>
      <c r="U114" s="28">
        <v>54</v>
      </c>
      <c r="V114" s="28">
        <v>54</v>
      </c>
      <c r="W114" s="28">
        <v>54</v>
      </c>
      <c r="X114" s="28">
        <v>54</v>
      </c>
      <c r="Y114" s="28">
        <v>54</v>
      </c>
      <c r="Z114" s="28">
        <v>54</v>
      </c>
      <c r="AA114" s="28">
        <v>54</v>
      </c>
      <c r="AB114" s="28">
        <v>54</v>
      </c>
      <c r="AC114" s="28" t="s">
        <v>8</v>
      </c>
      <c r="AD114" s="28">
        <v>25</v>
      </c>
      <c r="AE114" s="28">
        <v>25</v>
      </c>
      <c r="AF114" s="28">
        <v>25</v>
      </c>
      <c r="AG114" s="28" t="s">
        <v>8</v>
      </c>
      <c r="AH114" s="28" t="s">
        <v>8</v>
      </c>
      <c r="AI114" s="28" t="s">
        <v>8</v>
      </c>
      <c r="AJ114" s="28" t="s">
        <v>8</v>
      </c>
      <c r="AK114" s="28">
        <v>25</v>
      </c>
      <c r="AL114" s="28">
        <v>25</v>
      </c>
      <c r="AM114" s="28">
        <v>25</v>
      </c>
      <c r="AN114" s="28">
        <v>25</v>
      </c>
      <c r="AO114" s="28">
        <v>25</v>
      </c>
      <c r="AP114" s="28">
        <v>25</v>
      </c>
      <c r="AQ114" s="28">
        <v>25</v>
      </c>
      <c r="AR114" s="28">
        <v>25</v>
      </c>
      <c r="AS114" s="28">
        <v>25</v>
      </c>
      <c r="AT114" s="28">
        <v>25</v>
      </c>
      <c r="AU114" s="28">
        <v>25</v>
      </c>
      <c r="AV114" s="28">
        <v>25</v>
      </c>
      <c r="AW114" s="28">
        <v>25</v>
      </c>
    </row>
    <row r="115" spans="2:49">
      <c r="B115" s="1" t="s">
        <v>329</v>
      </c>
      <c r="C115" s="1" t="s">
        <v>330</v>
      </c>
      <c r="D115" s="1" t="s">
        <v>11</v>
      </c>
      <c r="E115" s="1" t="s">
        <v>331</v>
      </c>
      <c r="F115" s="28" t="s">
        <v>8</v>
      </c>
      <c r="G115" s="28" t="s">
        <v>8</v>
      </c>
      <c r="H115" s="28" t="s">
        <v>8</v>
      </c>
      <c r="I115" s="28" t="s">
        <v>8</v>
      </c>
      <c r="J115" s="28" t="s">
        <v>8</v>
      </c>
      <c r="K115" s="28" t="s">
        <v>8</v>
      </c>
      <c r="L115" s="28" t="s">
        <v>8</v>
      </c>
      <c r="M115" s="28" t="s">
        <v>8</v>
      </c>
      <c r="N115" s="28" t="s">
        <v>8</v>
      </c>
      <c r="O115" s="28" t="s">
        <v>8</v>
      </c>
      <c r="P115" s="28" t="s">
        <v>8</v>
      </c>
      <c r="Q115" s="28" t="s">
        <v>8</v>
      </c>
      <c r="R115" s="28" t="s">
        <v>8</v>
      </c>
      <c r="S115" s="28" t="s">
        <v>8</v>
      </c>
      <c r="T115" s="28" t="s">
        <v>8</v>
      </c>
      <c r="U115" s="28" t="s">
        <v>8</v>
      </c>
      <c r="V115" s="28" t="s">
        <v>8</v>
      </c>
      <c r="W115" s="28" t="s">
        <v>8</v>
      </c>
      <c r="X115" s="28" t="s">
        <v>8</v>
      </c>
      <c r="Y115" s="28" t="s">
        <v>8</v>
      </c>
      <c r="Z115" s="28" t="s">
        <v>8</v>
      </c>
      <c r="AA115" s="28" t="s">
        <v>8</v>
      </c>
      <c r="AB115" s="28" t="s">
        <v>8</v>
      </c>
      <c r="AC115" s="28" t="s">
        <v>8</v>
      </c>
      <c r="AD115" s="28" t="s">
        <v>8</v>
      </c>
      <c r="AE115" s="28" t="s">
        <v>8</v>
      </c>
      <c r="AF115" s="28" t="s">
        <v>8</v>
      </c>
      <c r="AG115" s="28" t="s">
        <v>8</v>
      </c>
      <c r="AH115" s="28">
        <v>15</v>
      </c>
      <c r="AI115" s="28">
        <v>15</v>
      </c>
      <c r="AJ115" s="28">
        <v>15</v>
      </c>
      <c r="AK115" s="28">
        <v>15</v>
      </c>
      <c r="AL115" s="28">
        <v>15</v>
      </c>
      <c r="AM115" s="28">
        <v>15</v>
      </c>
      <c r="AN115" s="28">
        <v>15</v>
      </c>
      <c r="AO115" s="28">
        <v>15</v>
      </c>
      <c r="AP115" s="28">
        <v>15</v>
      </c>
      <c r="AQ115" s="28">
        <v>15</v>
      </c>
      <c r="AR115" s="28">
        <v>15</v>
      </c>
      <c r="AS115" s="28">
        <v>15</v>
      </c>
      <c r="AT115" s="28">
        <v>15</v>
      </c>
      <c r="AU115" s="28">
        <v>15</v>
      </c>
      <c r="AV115" s="28">
        <v>15</v>
      </c>
      <c r="AW115" s="28">
        <v>15</v>
      </c>
    </row>
    <row r="116" spans="2:49">
      <c r="B116" s="1" t="s">
        <v>332</v>
      </c>
      <c r="C116" s="1" t="s">
        <v>333</v>
      </c>
      <c r="D116" s="1" t="s">
        <v>21</v>
      </c>
      <c r="E116" s="1" t="s">
        <v>334</v>
      </c>
      <c r="F116" s="28" t="s">
        <v>8</v>
      </c>
      <c r="G116" s="28" t="s">
        <v>8</v>
      </c>
      <c r="H116" s="28" t="s">
        <v>8</v>
      </c>
      <c r="I116" s="28" t="s">
        <v>8</v>
      </c>
      <c r="J116" s="28" t="s">
        <v>8</v>
      </c>
      <c r="K116" s="28" t="s">
        <v>8</v>
      </c>
      <c r="L116" s="28" t="s">
        <v>8</v>
      </c>
      <c r="M116" s="28" t="s">
        <v>8</v>
      </c>
      <c r="N116" s="28" t="s">
        <v>8</v>
      </c>
      <c r="O116" s="28" t="s">
        <v>8</v>
      </c>
      <c r="P116" s="28" t="s">
        <v>8</v>
      </c>
      <c r="Q116" s="28" t="s">
        <v>8</v>
      </c>
      <c r="R116" s="28" t="s">
        <v>8</v>
      </c>
      <c r="S116" s="28">
        <v>33</v>
      </c>
      <c r="T116" s="28">
        <v>33</v>
      </c>
      <c r="U116" s="28">
        <v>33</v>
      </c>
      <c r="V116" s="28">
        <v>33</v>
      </c>
      <c r="W116" s="28">
        <v>33</v>
      </c>
      <c r="X116" s="28">
        <v>33</v>
      </c>
      <c r="Y116" s="28">
        <v>30</v>
      </c>
      <c r="Z116" s="28">
        <v>30</v>
      </c>
      <c r="AA116" s="28">
        <v>30</v>
      </c>
      <c r="AB116" s="28">
        <v>18</v>
      </c>
      <c r="AC116" s="28">
        <v>18</v>
      </c>
      <c r="AD116" s="28">
        <v>18</v>
      </c>
      <c r="AE116" s="28">
        <v>18</v>
      </c>
      <c r="AF116" s="28">
        <v>18</v>
      </c>
      <c r="AG116" s="28">
        <v>18</v>
      </c>
      <c r="AH116" s="28">
        <v>15</v>
      </c>
      <c r="AI116" s="28">
        <v>15</v>
      </c>
      <c r="AJ116" s="28">
        <v>18</v>
      </c>
      <c r="AK116" s="28">
        <v>20</v>
      </c>
      <c r="AL116" s="28">
        <v>20</v>
      </c>
      <c r="AM116" s="28">
        <v>20</v>
      </c>
      <c r="AN116" s="28">
        <v>20</v>
      </c>
      <c r="AO116" s="28">
        <v>20</v>
      </c>
      <c r="AP116" s="28">
        <v>20</v>
      </c>
      <c r="AQ116" s="28">
        <v>20</v>
      </c>
      <c r="AR116" s="28">
        <v>20</v>
      </c>
      <c r="AS116" s="28">
        <v>20</v>
      </c>
      <c r="AT116" s="28">
        <v>20</v>
      </c>
      <c r="AU116" s="28">
        <v>20</v>
      </c>
      <c r="AV116" s="28">
        <v>20</v>
      </c>
      <c r="AW116" s="28">
        <v>20</v>
      </c>
    </row>
    <row r="117" spans="2:49">
      <c r="B117" s="1" t="s">
        <v>335</v>
      </c>
      <c r="C117" s="1" t="s">
        <v>336</v>
      </c>
      <c r="D117" s="1" t="s">
        <v>11</v>
      </c>
      <c r="E117" s="1" t="s">
        <v>337</v>
      </c>
      <c r="F117" s="28" t="s">
        <v>8</v>
      </c>
      <c r="G117" s="28" t="s">
        <v>8</v>
      </c>
      <c r="H117" s="28" t="s">
        <v>8</v>
      </c>
      <c r="I117" s="28" t="s">
        <v>8</v>
      </c>
      <c r="J117" s="28" t="s">
        <v>8</v>
      </c>
      <c r="K117" s="28" t="s">
        <v>8</v>
      </c>
      <c r="L117" s="28" t="s">
        <v>8</v>
      </c>
      <c r="M117" s="28" t="s">
        <v>8</v>
      </c>
      <c r="N117" s="28" t="s">
        <v>8</v>
      </c>
      <c r="O117" s="28" t="s">
        <v>8</v>
      </c>
      <c r="P117" s="28" t="s">
        <v>8</v>
      </c>
      <c r="Q117" s="28" t="s">
        <v>8</v>
      </c>
      <c r="R117" s="28" t="s">
        <v>8</v>
      </c>
      <c r="S117" s="28" t="s">
        <v>8</v>
      </c>
      <c r="T117" s="28" t="s">
        <v>8</v>
      </c>
      <c r="U117" s="28">
        <v>37</v>
      </c>
      <c r="V117" s="28">
        <v>36</v>
      </c>
      <c r="W117" s="28">
        <v>36</v>
      </c>
      <c r="X117" s="28">
        <v>36</v>
      </c>
      <c r="Y117" s="28">
        <v>36</v>
      </c>
      <c r="Z117" s="28">
        <v>36</v>
      </c>
      <c r="AA117" s="28">
        <v>36</v>
      </c>
      <c r="AB117" s="28">
        <v>36</v>
      </c>
      <c r="AC117" s="28">
        <v>36</v>
      </c>
      <c r="AD117" s="28">
        <v>35</v>
      </c>
      <c r="AE117" s="28">
        <v>34</v>
      </c>
      <c r="AF117" s="28">
        <v>31</v>
      </c>
      <c r="AG117" s="28">
        <v>29</v>
      </c>
      <c r="AH117" s="28">
        <v>27</v>
      </c>
      <c r="AI117" s="28">
        <v>26</v>
      </c>
      <c r="AJ117" s="28">
        <v>25</v>
      </c>
      <c r="AK117" s="28">
        <v>24</v>
      </c>
      <c r="AL117" s="28">
        <v>25</v>
      </c>
      <c r="AM117" s="28">
        <v>25</v>
      </c>
      <c r="AN117" s="28">
        <v>26.5</v>
      </c>
      <c r="AO117" s="28">
        <v>26.5</v>
      </c>
      <c r="AP117" s="28">
        <v>25</v>
      </c>
      <c r="AQ117" s="28">
        <v>24</v>
      </c>
      <c r="AR117" s="28">
        <v>23</v>
      </c>
      <c r="AS117" s="28">
        <v>23</v>
      </c>
      <c r="AT117" s="28">
        <v>23</v>
      </c>
      <c r="AU117" s="28">
        <v>23</v>
      </c>
      <c r="AV117" s="28">
        <v>23</v>
      </c>
      <c r="AW117" s="28">
        <v>23</v>
      </c>
    </row>
    <row r="118" spans="2:49">
      <c r="B118" s="1" t="s">
        <v>338</v>
      </c>
      <c r="C118" s="1" t="s">
        <v>339</v>
      </c>
      <c r="D118" s="1" t="s">
        <v>21</v>
      </c>
      <c r="E118" s="1" t="s">
        <v>340</v>
      </c>
      <c r="F118" s="28" t="s">
        <v>8</v>
      </c>
      <c r="G118" s="28">
        <v>36.25</v>
      </c>
      <c r="H118" s="28">
        <v>41.34</v>
      </c>
      <c r="I118" s="28">
        <v>46.4</v>
      </c>
      <c r="J118" s="28">
        <v>46.4</v>
      </c>
      <c r="K118" s="28">
        <v>46.4</v>
      </c>
      <c r="L118" s="28">
        <v>46.4</v>
      </c>
      <c r="M118" s="28">
        <v>46.4</v>
      </c>
      <c r="N118" s="28">
        <v>46.4</v>
      </c>
      <c r="O118" s="28">
        <v>46.4</v>
      </c>
      <c r="P118" s="28">
        <v>46.4</v>
      </c>
      <c r="Q118" s="28">
        <v>47.8</v>
      </c>
      <c r="R118" s="28">
        <v>52.2</v>
      </c>
      <c r="S118" s="28">
        <v>52.2</v>
      </c>
      <c r="T118" s="28">
        <v>53.2</v>
      </c>
      <c r="U118" s="28">
        <v>53.2</v>
      </c>
      <c r="V118" s="28">
        <v>53.2</v>
      </c>
      <c r="W118" s="28">
        <v>53.2</v>
      </c>
      <c r="X118" s="28">
        <v>37</v>
      </c>
      <c r="Y118" s="28">
        <v>37</v>
      </c>
      <c r="Z118" s="28">
        <v>41.25</v>
      </c>
      <c r="AA118" s="28">
        <v>40.25</v>
      </c>
      <c r="AB118" s="28">
        <v>40.25</v>
      </c>
      <c r="AC118" s="28">
        <v>38.25</v>
      </c>
      <c r="AD118" s="28">
        <v>37.25</v>
      </c>
      <c r="AE118" s="28">
        <v>37.25</v>
      </c>
      <c r="AF118" s="28">
        <v>37.25</v>
      </c>
      <c r="AG118" s="28">
        <v>37.25</v>
      </c>
      <c r="AH118" s="28">
        <v>31.4</v>
      </c>
      <c r="AI118" s="28">
        <v>31.4</v>
      </c>
      <c r="AJ118" s="28">
        <v>31.4</v>
      </c>
      <c r="AK118" s="28">
        <v>31.4</v>
      </c>
      <c r="AL118" s="28">
        <v>31.292750000000002</v>
      </c>
      <c r="AM118" s="28">
        <v>31.292750000000002</v>
      </c>
      <c r="AN118" s="28">
        <v>31.292750000000002</v>
      </c>
      <c r="AO118" s="28">
        <v>31.292750000000002</v>
      </c>
      <c r="AP118" s="28">
        <v>31.292750000000002</v>
      </c>
      <c r="AQ118" s="28">
        <v>27.8064</v>
      </c>
      <c r="AR118" s="28">
        <v>27.8064</v>
      </c>
      <c r="AS118" s="28">
        <v>27.8064</v>
      </c>
      <c r="AT118" s="28">
        <v>27.81</v>
      </c>
      <c r="AU118" s="28">
        <v>27.81</v>
      </c>
      <c r="AV118" s="28">
        <v>27.81</v>
      </c>
      <c r="AW118" s="28">
        <v>27.81</v>
      </c>
    </row>
    <row r="119" spans="2:49">
      <c r="B119" s="1" t="s">
        <v>341</v>
      </c>
      <c r="C119" s="1" t="s">
        <v>342</v>
      </c>
      <c r="D119" s="1" t="s">
        <v>6</v>
      </c>
      <c r="E119" s="1" t="s">
        <v>343</v>
      </c>
      <c r="F119" s="28">
        <v>45</v>
      </c>
      <c r="G119" s="28">
        <v>45</v>
      </c>
      <c r="H119" s="28">
        <v>45</v>
      </c>
      <c r="I119" s="28">
        <v>45</v>
      </c>
      <c r="J119" s="28">
        <v>45</v>
      </c>
      <c r="K119" s="28">
        <v>45</v>
      </c>
      <c r="L119" s="28">
        <v>45</v>
      </c>
      <c r="M119" s="28">
        <v>33.299999999999997</v>
      </c>
      <c r="N119" s="28">
        <v>33.299999999999997</v>
      </c>
      <c r="O119" s="28">
        <v>33.299999999999997</v>
      </c>
      <c r="P119" s="28">
        <v>33.299999999999997</v>
      </c>
      <c r="Q119" s="28">
        <v>33.299999999999997</v>
      </c>
      <c r="R119" s="28">
        <v>33.299999999999997</v>
      </c>
      <c r="S119" s="28">
        <v>33.299999999999997</v>
      </c>
      <c r="T119" s="28">
        <v>33.299999999999997</v>
      </c>
      <c r="U119" s="28">
        <v>33.299999999999997</v>
      </c>
      <c r="V119" s="28">
        <v>33.299999999999997</v>
      </c>
      <c r="W119" s="28">
        <v>33.299999999999997</v>
      </c>
      <c r="X119" s="28">
        <v>33.299999999999997</v>
      </c>
      <c r="Y119" s="28">
        <v>33.299999999999997</v>
      </c>
      <c r="Z119" s="28">
        <v>33.33</v>
      </c>
      <c r="AA119" s="28">
        <v>33.33</v>
      </c>
      <c r="AB119" s="28">
        <v>33.33</v>
      </c>
      <c r="AC119" s="28">
        <v>33.33</v>
      </c>
      <c r="AD119" s="28">
        <v>33.33</v>
      </c>
      <c r="AE119" s="28">
        <v>33.33</v>
      </c>
      <c r="AF119" s="28">
        <v>33.33</v>
      </c>
      <c r="AG119" s="28">
        <v>33.33</v>
      </c>
      <c r="AH119" s="28">
        <v>33.33</v>
      </c>
      <c r="AI119" s="28">
        <v>33.33</v>
      </c>
      <c r="AJ119" s="28">
        <v>33.33</v>
      </c>
      <c r="AK119" s="28">
        <v>33.33</v>
      </c>
      <c r="AL119" s="28">
        <v>33.33</v>
      </c>
      <c r="AM119" s="28">
        <v>25</v>
      </c>
      <c r="AN119" s="28">
        <v>25</v>
      </c>
      <c r="AO119" s="28">
        <v>25</v>
      </c>
      <c r="AP119" s="28">
        <v>25</v>
      </c>
      <c r="AQ119" s="28">
        <v>25</v>
      </c>
      <c r="AR119" s="28">
        <v>25</v>
      </c>
      <c r="AS119" s="28">
        <v>25</v>
      </c>
      <c r="AT119" s="28">
        <v>25</v>
      </c>
      <c r="AU119" s="28">
        <v>25</v>
      </c>
      <c r="AV119" s="28">
        <v>25</v>
      </c>
      <c r="AW119" s="28">
        <v>25</v>
      </c>
    </row>
    <row r="120" spans="2:49">
      <c r="B120" s="1" t="s">
        <v>344</v>
      </c>
      <c r="C120" s="1" t="s">
        <v>345</v>
      </c>
      <c r="D120" s="1" t="s">
        <v>21</v>
      </c>
      <c r="E120" s="1" t="s">
        <v>789</v>
      </c>
      <c r="F120" s="28">
        <v>20</v>
      </c>
      <c r="G120" s="28">
        <v>20</v>
      </c>
      <c r="H120" s="28">
        <v>20</v>
      </c>
      <c r="I120" s="28">
        <v>20</v>
      </c>
      <c r="J120" s="28">
        <v>20</v>
      </c>
      <c r="K120" s="28">
        <v>20</v>
      </c>
      <c r="L120" s="28">
        <v>20</v>
      </c>
      <c r="M120" s="28">
        <v>20</v>
      </c>
      <c r="N120" s="28">
        <v>20</v>
      </c>
      <c r="O120" s="28">
        <v>20</v>
      </c>
      <c r="P120" s="28">
        <v>20</v>
      </c>
      <c r="Q120" s="28">
        <v>20</v>
      </c>
      <c r="R120" s="28">
        <v>20</v>
      </c>
      <c r="S120" s="28">
        <v>20</v>
      </c>
      <c r="T120" s="28">
        <v>20</v>
      </c>
      <c r="U120" s="28">
        <v>20</v>
      </c>
      <c r="V120" s="28">
        <v>20</v>
      </c>
      <c r="W120" s="28">
        <v>20</v>
      </c>
      <c r="X120" s="28">
        <v>20</v>
      </c>
      <c r="Y120" s="28" t="s">
        <v>8</v>
      </c>
      <c r="Z120" s="28">
        <v>20</v>
      </c>
      <c r="AA120" s="28">
        <v>20</v>
      </c>
      <c r="AB120" s="28">
        <v>20</v>
      </c>
      <c r="AC120" s="28">
        <v>0</v>
      </c>
      <c r="AD120" s="28">
        <v>0</v>
      </c>
      <c r="AE120" s="28">
        <v>0</v>
      </c>
      <c r="AF120" s="28">
        <v>0</v>
      </c>
      <c r="AG120" s="28">
        <v>0</v>
      </c>
      <c r="AH120" s="28">
        <v>0</v>
      </c>
      <c r="AI120" s="28">
        <v>0</v>
      </c>
      <c r="AJ120" s="28">
        <v>0</v>
      </c>
      <c r="AK120" s="28">
        <v>0</v>
      </c>
      <c r="AL120" s="28">
        <v>0</v>
      </c>
      <c r="AM120" s="28">
        <v>0</v>
      </c>
      <c r="AN120" s="28">
        <v>0</v>
      </c>
      <c r="AO120" s="28">
        <v>0</v>
      </c>
      <c r="AP120" s="28">
        <v>0</v>
      </c>
      <c r="AQ120" s="28">
        <v>0</v>
      </c>
      <c r="AR120" s="28">
        <v>0</v>
      </c>
      <c r="AS120" s="28">
        <v>0</v>
      </c>
      <c r="AT120" s="28">
        <v>0</v>
      </c>
      <c r="AU120" s="28">
        <v>0</v>
      </c>
      <c r="AV120" s="28">
        <v>0</v>
      </c>
      <c r="AW120" s="28">
        <v>0</v>
      </c>
    </row>
    <row r="121" spans="2:49">
      <c r="B121" s="1" t="s">
        <v>346</v>
      </c>
      <c r="C121" s="1" t="s">
        <v>347</v>
      </c>
      <c r="D121" s="1" t="s">
        <v>11</v>
      </c>
      <c r="E121" s="1" t="s">
        <v>348</v>
      </c>
      <c r="F121" s="28" t="s">
        <v>8</v>
      </c>
      <c r="G121" s="28" t="s">
        <v>8</v>
      </c>
      <c r="H121" s="28">
        <v>40</v>
      </c>
      <c r="I121" s="28" t="s">
        <v>8</v>
      </c>
      <c r="J121" s="28" t="s">
        <v>8</v>
      </c>
      <c r="K121" s="28" t="s">
        <v>8</v>
      </c>
      <c r="L121" s="28" t="s">
        <v>8</v>
      </c>
      <c r="M121" s="28" t="s">
        <v>8</v>
      </c>
      <c r="N121" s="28" t="s">
        <v>8</v>
      </c>
      <c r="O121" s="28" t="s">
        <v>8</v>
      </c>
      <c r="P121" s="28" t="s">
        <v>8</v>
      </c>
      <c r="Q121" s="28" t="s">
        <v>8</v>
      </c>
      <c r="R121" s="28" t="s">
        <v>8</v>
      </c>
      <c r="S121" s="28" t="s">
        <v>8</v>
      </c>
      <c r="T121" s="28" t="s">
        <v>8</v>
      </c>
      <c r="U121" s="28">
        <v>55</v>
      </c>
      <c r="V121" s="28">
        <v>55</v>
      </c>
      <c r="W121" s="28">
        <v>35</v>
      </c>
      <c r="X121" s="28">
        <v>35</v>
      </c>
      <c r="Y121" s="28">
        <v>35</v>
      </c>
      <c r="Z121" s="28">
        <v>35</v>
      </c>
      <c r="AA121" s="28">
        <v>35</v>
      </c>
      <c r="AB121" s="28">
        <v>35</v>
      </c>
      <c r="AC121" s="28">
        <v>25</v>
      </c>
      <c r="AD121" s="28">
        <v>25</v>
      </c>
      <c r="AE121" s="28">
        <v>25</v>
      </c>
      <c r="AF121" s="28">
        <v>25</v>
      </c>
      <c r="AG121" s="28">
        <v>25</v>
      </c>
      <c r="AH121" s="28">
        <v>25</v>
      </c>
      <c r="AI121" s="28">
        <v>25</v>
      </c>
      <c r="AJ121" s="28">
        <v>14</v>
      </c>
      <c r="AK121" s="28">
        <v>14</v>
      </c>
      <c r="AL121" s="28">
        <v>14</v>
      </c>
      <c r="AM121" s="28">
        <v>14</v>
      </c>
      <c r="AN121" s="28">
        <v>14</v>
      </c>
      <c r="AO121" s="28">
        <v>20</v>
      </c>
      <c r="AP121" s="28">
        <v>20</v>
      </c>
      <c r="AQ121" s="28">
        <v>20</v>
      </c>
      <c r="AR121" s="28">
        <v>20</v>
      </c>
      <c r="AS121" s="28">
        <v>20</v>
      </c>
      <c r="AT121" s="28">
        <v>20</v>
      </c>
      <c r="AU121" s="28">
        <v>20</v>
      </c>
      <c r="AV121" s="28">
        <v>20</v>
      </c>
      <c r="AW121" s="28">
        <v>20</v>
      </c>
    </row>
    <row r="122" spans="2:49">
      <c r="B122" s="1" t="s">
        <v>349</v>
      </c>
      <c r="C122" s="1" t="s">
        <v>350</v>
      </c>
      <c r="D122" s="1" t="s">
        <v>11</v>
      </c>
      <c r="E122" s="1" t="s">
        <v>351</v>
      </c>
      <c r="F122" s="28" t="s">
        <v>8</v>
      </c>
      <c r="G122" s="28" t="s">
        <v>8</v>
      </c>
      <c r="H122" s="28" t="s">
        <v>8</v>
      </c>
      <c r="I122" s="28" t="s">
        <v>8</v>
      </c>
      <c r="J122" s="28" t="s">
        <v>8</v>
      </c>
      <c r="K122" s="28" t="s">
        <v>8</v>
      </c>
      <c r="L122" s="28" t="s">
        <v>8</v>
      </c>
      <c r="M122" s="28" t="s">
        <v>8</v>
      </c>
      <c r="N122" s="28" t="s">
        <v>8</v>
      </c>
      <c r="O122" s="28" t="s">
        <v>8</v>
      </c>
      <c r="P122" s="28">
        <v>49.98</v>
      </c>
      <c r="Q122" s="28">
        <v>49.98</v>
      </c>
      <c r="R122" s="28">
        <v>49.98</v>
      </c>
      <c r="S122" s="28">
        <v>49.98</v>
      </c>
      <c r="T122" s="28">
        <v>49.98</v>
      </c>
      <c r="U122" s="28">
        <v>49.98</v>
      </c>
      <c r="V122" s="28">
        <v>49.98</v>
      </c>
      <c r="W122" s="28">
        <v>49.98</v>
      </c>
      <c r="X122" s="28">
        <v>46.36</v>
      </c>
      <c r="Y122" s="28">
        <v>48</v>
      </c>
      <c r="Z122" s="28">
        <v>40.869999999999997</v>
      </c>
      <c r="AA122" s="28">
        <v>40.869999999999997</v>
      </c>
      <c r="AB122" s="28">
        <v>40.869999999999997</v>
      </c>
      <c r="AC122" s="28">
        <v>40.869999999999997</v>
      </c>
      <c r="AD122" s="28">
        <v>39.54</v>
      </c>
      <c r="AE122" s="28">
        <v>39.54</v>
      </c>
      <c r="AF122" s="28">
        <v>39.54</v>
      </c>
      <c r="AG122" s="28">
        <v>39.54</v>
      </c>
      <c r="AH122" s="28">
        <v>39.54</v>
      </c>
      <c r="AI122" s="28">
        <v>39.54</v>
      </c>
      <c r="AJ122" s="28">
        <v>39.54</v>
      </c>
      <c r="AK122" s="28">
        <v>39.54</v>
      </c>
      <c r="AL122" s="28">
        <v>39.54</v>
      </c>
      <c r="AM122" s="28">
        <v>36.99</v>
      </c>
      <c r="AN122" s="28">
        <v>36.99</v>
      </c>
      <c r="AO122" s="28">
        <v>32.11</v>
      </c>
      <c r="AP122" s="28">
        <v>29.97</v>
      </c>
      <c r="AQ122" s="28">
        <v>29.97</v>
      </c>
      <c r="AR122" s="28">
        <v>29.74</v>
      </c>
      <c r="AS122" s="28">
        <v>29.74</v>
      </c>
      <c r="AT122" s="28">
        <v>29.74</v>
      </c>
      <c r="AU122" s="28">
        <v>29.74</v>
      </c>
      <c r="AV122" s="28">
        <v>29.74</v>
      </c>
      <c r="AW122" s="28">
        <v>29.74</v>
      </c>
    </row>
    <row r="123" spans="2:49">
      <c r="B123" s="1" t="s">
        <v>352</v>
      </c>
      <c r="C123" s="1" t="s">
        <v>353</v>
      </c>
      <c r="D123" s="1" t="s">
        <v>11</v>
      </c>
      <c r="E123" s="1" t="s">
        <v>354</v>
      </c>
      <c r="F123" s="28" t="s">
        <v>8</v>
      </c>
      <c r="G123" s="28" t="s">
        <v>8</v>
      </c>
      <c r="H123" s="28" t="s">
        <v>8</v>
      </c>
      <c r="I123" s="28" t="s">
        <v>8</v>
      </c>
      <c r="J123" s="28" t="s">
        <v>8</v>
      </c>
      <c r="K123" s="28" t="s">
        <v>8</v>
      </c>
      <c r="L123" s="28" t="s">
        <v>8</v>
      </c>
      <c r="M123" s="28" t="s">
        <v>8</v>
      </c>
      <c r="N123" s="28" t="s">
        <v>8</v>
      </c>
      <c r="O123" s="28" t="s">
        <v>8</v>
      </c>
      <c r="P123" s="28">
        <v>30</v>
      </c>
      <c r="Q123" s="28">
        <v>30</v>
      </c>
      <c r="R123" s="28">
        <v>30</v>
      </c>
      <c r="S123" s="28">
        <v>25</v>
      </c>
      <c r="T123" s="28">
        <v>30</v>
      </c>
      <c r="U123" s="28">
        <v>30</v>
      </c>
      <c r="V123" s="28">
        <v>30</v>
      </c>
      <c r="W123" s="28">
        <v>30</v>
      </c>
      <c r="X123" s="28">
        <v>30</v>
      </c>
      <c r="Y123" s="28">
        <v>30</v>
      </c>
      <c r="Z123" s="28">
        <v>30</v>
      </c>
      <c r="AA123" s="28">
        <v>30</v>
      </c>
      <c r="AB123" s="28">
        <v>30</v>
      </c>
      <c r="AC123" s="28">
        <v>30</v>
      </c>
      <c r="AD123" s="28">
        <v>30</v>
      </c>
      <c r="AE123" s="28">
        <v>30</v>
      </c>
      <c r="AF123" s="28">
        <v>30</v>
      </c>
      <c r="AG123" s="28">
        <v>30</v>
      </c>
      <c r="AH123" s="28">
        <v>30</v>
      </c>
      <c r="AI123" s="28">
        <v>20</v>
      </c>
      <c r="AJ123" s="28">
        <v>20</v>
      </c>
      <c r="AK123" s="28">
        <v>20</v>
      </c>
      <c r="AL123" s="28">
        <v>20</v>
      </c>
      <c r="AM123" s="28">
        <v>20</v>
      </c>
      <c r="AN123" s="28">
        <v>20</v>
      </c>
      <c r="AO123" s="28">
        <v>20</v>
      </c>
      <c r="AP123" s="28">
        <v>20</v>
      </c>
      <c r="AQ123" s="28">
        <v>20</v>
      </c>
      <c r="AR123" s="28">
        <v>20</v>
      </c>
      <c r="AS123" s="28">
        <v>20</v>
      </c>
      <c r="AT123" s="28">
        <v>20</v>
      </c>
      <c r="AU123" s="28">
        <v>20</v>
      </c>
      <c r="AV123" s="28">
        <v>20</v>
      </c>
      <c r="AW123" s="28">
        <v>20</v>
      </c>
    </row>
    <row r="124" spans="2:49">
      <c r="B124" s="1" t="s">
        <v>355</v>
      </c>
      <c r="C124" s="1" t="s">
        <v>356</v>
      </c>
      <c r="D124" s="1" t="s">
        <v>9</v>
      </c>
      <c r="E124" s="1" t="s">
        <v>357</v>
      </c>
      <c r="F124" s="28">
        <v>45</v>
      </c>
      <c r="G124" s="28">
        <v>45</v>
      </c>
      <c r="H124" s="28">
        <v>45</v>
      </c>
      <c r="I124" s="28">
        <v>45</v>
      </c>
      <c r="J124" s="28">
        <v>45</v>
      </c>
      <c r="K124" s="28">
        <v>45</v>
      </c>
      <c r="L124" s="28">
        <v>45</v>
      </c>
      <c r="M124" s="28">
        <v>45</v>
      </c>
      <c r="N124" s="28">
        <v>45</v>
      </c>
      <c r="O124" s="28">
        <v>45</v>
      </c>
      <c r="P124" s="28">
        <v>42.5</v>
      </c>
      <c r="Q124" s="28">
        <v>40</v>
      </c>
      <c r="R124" s="28">
        <v>37.5</v>
      </c>
      <c r="S124" s="28">
        <v>35</v>
      </c>
      <c r="T124" s="28">
        <v>35</v>
      </c>
      <c r="U124" s="28">
        <v>35</v>
      </c>
      <c r="V124" s="28">
        <v>35</v>
      </c>
      <c r="W124" s="28">
        <v>35</v>
      </c>
      <c r="X124" s="28">
        <v>35</v>
      </c>
      <c r="Y124" s="28">
        <v>33</v>
      </c>
      <c r="Z124" s="28">
        <v>30</v>
      </c>
      <c r="AA124" s="28">
        <v>30</v>
      </c>
      <c r="AB124" s="28">
        <v>30</v>
      </c>
      <c r="AC124" s="28">
        <v>30</v>
      </c>
      <c r="AD124" s="28">
        <v>30</v>
      </c>
      <c r="AE124" s="28">
        <v>30</v>
      </c>
      <c r="AF124" s="28">
        <v>30</v>
      </c>
      <c r="AG124" s="28">
        <v>30</v>
      </c>
      <c r="AH124" s="28">
        <v>30</v>
      </c>
      <c r="AI124" s="28">
        <v>30</v>
      </c>
      <c r="AJ124" s="28">
        <v>30</v>
      </c>
      <c r="AK124" s="28">
        <v>30</v>
      </c>
      <c r="AL124" s="28">
        <v>30</v>
      </c>
      <c r="AM124" s="28">
        <v>30</v>
      </c>
      <c r="AN124" s="28">
        <v>30</v>
      </c>
      <c r="AO124" s="28">
        <v>30</v>
      </c>
      <c r="AP124" s="28">
        <v>30</v>
      </c>
      <c r="AQ124" s="28">
        <v>30</v>
      </c>
      <c r="AR124" s="28">
        <v>30</v>
      </c>
      <c r="AS124" s="28">
        <v>30</v>
      </c>
      <c r="AT124" s="28">
        <v>30</v>
      </c>
      <c r="AU124" s="28">
        <v>30</v>
      </c>
      <c r="AV124" s="28">
        <v>30</v>
      </c>
      <c r="AW124" s="28">
        <v>30</v>
      </c>
    </row>
    <row r="125" spans="2:49">
      <c r="B125" s="1" t="s">
        <v>358</v>
      </c>
      <c r="C125" s="1" t="s">
        <v>359</v>
      </c>
      <c r="D125" s="1" t="s">
        <v>11</v>
      </c>
      <c r="E125" s="1" t="s">
        <v>360</v>
      </c>
      <c r="F125" s="28" t="s">
        <v>8</v>
      </c>
      <c r="G125" s="28" t="s">
        <v>8</v>
      </c>
      <c r="H125" s="28" t="s">
        <v>8</v>
      </c>
      <c r="I125" s="28" t="s">
        <v>8</v>
      </c>
      <c r="J125" s="28" t="s">
        <v>8</v>
      </c>
      <c r="K125" s="28" t="s">
        <v>8</v>
      </c>
      <c r="L125" s="28" t="s">
        <v>8</v>
      </c>
      <c r="M125" s="28" t="s">
        <v>8</v>
      </c>
      <c r="N125" s="28" t="s">
        <v>8</v>
      </c>
      <c r="O125" s="28" t="s">
        <v>8</v>
      </c>
      <c r="P125" s="28" t="s">
        <v>8</v>
      </c>
      <c r="Q125" s="28" t="s">
        <v>8</v>
      </c>
      <c r="R125" s="28" t="s">
        <v>8</v>
      </c>
      <c r="S125" s="28" t="s">
        <v>8</v>
      </c>
      <c r="T125" s="28" t="s">
        <v>8</v>
      </c>
      <c r="U125" s="28" t="s">
        <v>8</v>
      </c>
      <c r="V125" s="28" t="s">
        <v>8</v>
      </c>
      <c r="W125" s="28" t="s">
        <v>8</v>
      </c>
      <c r="X125" s="28">
        <v>30</v>
      </c>
      <c r="Y125" s="28">
        <v>30</v>
      </c>
      <c r="Z125" s="28">
        <v>30</v>
      </c>
      <c r="AA125" s="28">
        <v>30</v>
      </c>
      <c r="AB125" s="28">
        <v>30</v>
      </c>
      <c r="AC125" s="28" t="s">
        <v>8</v>
      </c>
      <c r="AD125" s="28" t="s">
        <v>8</v>
      </c>
      <c r="AE125" s="28" t="s">
        <v>8</v>
      </c>
      <c r="AF125" s="28" t="s">
        <v>8</v>
      </c>
      <c r="AG125" s="28" t="s">
        <v>8</v>
      </c>
      <c r="AH125" s="28" t="s">
        <v>8</v>
      </c>
      <c r="AI125" s="28" t="s">
        <v>8</v>
      </c>
      <c r="AJ125" s="28">
        <v>10</v>
      </c>
      <c r="AK125" s="28">
        <v>10</v>
      </c>
      <c r="AL125" s="28">
        <v>10</v>
      </c>
      <c r="AM125" s="28">
        <v>10</v>
      </c>
      <c r="AN125" s="28">
        <v>10</v>
      </c>
      <c r="AO125" s="28">
        <v>10</v>
      </c>
      <c r="AP125" s="28">
        <v>10</v>
      </c>
      <c r="AQ125" s="28">
        <v>10</v>
      </c>
      <c r="AR125" s="28">
        <v>10</v>
      </c>
      <c r="AS125" s="28">
        <v>10</v>
      </c>
      <c r="AT125" s="28">
        <v>10</v>
      </c>
      <c r="AU125" s="28">
        <v>10</v>
      </c>
      <c r="AV125" s="28">
        <v>10</v>
      </c>
      <c r="AW125" s="28">
        <v>10</v>
      </c>
    </row>
    <row r="126" spans="2:49">
      <c r="B126" s="1" t="s">
        <v>361</v>
      </c>
      <c r="C126" s="1" t="s">
        <v>362</v>
      </c>
      <c r="D126" s="1" t="s">
        <v>11</v>
      </c>
      <c r="E126" s="1" t="s">
        <v>363</v>
      </c>
      <c r="F126" s="28" t="s">
        <v>8</v>
      </c>
      <c r="G126" s="28" t="s">
        <v>8</v>
      </c>
      <c r="H126" s="28" t="s">
        <v>8</v>
      </c>
      <c r="I126" s="28" t="s">
        <v>8</v>
      </c>
      <c r="J126" s="28" t="s">
        <v>8</v>
      </c>
      <c r="K126" s="28" t="s">
        <v>8</v>
      </c>
      <c r="L126" s="28" t="s">
        <v>8</v>
      </c>
      <c r="M126" s="28" t="s">
        <v>8</v>
      </c>
      <c r="N126" s="28" t="s">
        <v>8</v>
      </c>
      <c r="O126" s="28" t="s">
        <v>8</v>
      </c>
      <c r="P126" s="28" t="s">
        <v>8</v>
      </c>
      <c r="Q126" s="28" t="s">
        <v>8</v>
      </c>
      <c r="R126" s="28" t="s">
        <v>8</v>
      </c>
      <c r="S126" s="28" t="s">
        <v>8</v>
      </c>
      <c r="T126" s="28" t="s">
        <v>8</v>
      </c>
      <c r="U126" s="28" t="s">
        <v>8</v>
      </c>
      <c r="V126" s="28" t="s">
        <v>8</v>
      </c>
      <c r="W126" s="28">
        <v>20</v>
      </c>
      <c r="X126" s="28">
        <v>20</v>
      </c>
      <c r="Y126" s="28">
        <v>20</v>
      </c>
      <c r="Z126" s="28">
        <v>20</v>
      </c>
      <c r="AA126" s="28">
        <v>20</v>
      </c>
      <c r="AB126" s="28">
        <v>20</v>
      </c>
      <c r="AC126" s="28" t="s">
        <v>8</v>
      </c>
      <c r="AD126" s="28" t="s">
        <v>8</v>
      </c>
      <c r="AE126" s="28" t="s">
        <v>8</v>
      </c>
      <c r="AF126" s="28" t="s">
        <v>8</v>
      </c>
      <c r="AG126" s="28" t="s">
        <v>8</v>
      </c>
      <c r="AH126" s="28" t="s">
        <v>8</v>
      </c>
      <c r="AI126" s="28">
        <v>20</v>
      </c>
      <c r="AJ126" s="28">
        <v>20</v>
      </c>
      <c r="AK126" s="28">
        <v>20</v>
      </c>
      <c r="AL126" s="28">
        <v>20</v>
      </c>
      <c r="AM126" s="28">
        <v>20</v>
      </c>
      <c r="AN126" s="28">
        <v>20</v>
      </c>
      <c r="AO126" s="28">
        <v>20</v>
      </c>
      <c r="AP126" s="28">
        <v>20</v>
      </c>
      <c r="AQ126" s="28">
        <v>20</v>
      </c>
      <c r="AR126" s="28">
        <v>20</v>
      </c>
      <c r="AS126" s="28">
        <v>20</v>
      </c>
      <c r="AT126" s="28">
        <v>20</v>
      </c>
      <c r="AU126" s="28">
        <v>20</v>
      </c>
      <c r="AV126" s="28">
        <v>20</v>
      </c>
      <c r="AW126" s="28">
        <v>20</v>
      </c>
    </row>
    <row r="127" spans="2:49">
      <c r="B127" s="1" t="s">
        <v>364</v>
      </c>
      <c r="C127" s="1" t="s">
        <v>365</v>
      </c>
      <c r="D127" s="1" t="s">
        <v>43</v>
      </c>
      <c r="E127" s="1" t="s">
        <v>366</v>
      </c>
      <c r="F127" s="28" t="s">
        <v>8</v>
      </c>
      <c r="G127" s="28" t="s">
        <v>8</v>
      </c>
      <c r="H127" s="28" t="s">
        <v>8</v>
      </c>
      <c r="I127" s="28" t="s">
        <v>8</v>
      </c>
      <c r="J127" s="28" t="s">
        <v>8</v>
      </c>
      <c r="K127" s="28" t="s">
        <v>8</v>
      </c>
      <c r="L127" s="28" t="s">
        <v>8</v>
      </c>
      <c r="M127" s="28" t="s">
        <v>8</v>
      </c>
      <c r="N127" s="28" t="s">
        <v>8</v>
      </c>
      <c r="O127" s="28" t="s">
        <v>8</v>
      </c>
      <c r="P127" s="28" t="s">
        <v>8</v>
      </c>
      <c r="Q127" s="28" t="s">
        <v>8</v>
      </c>
      <c r="R127" s="28" t="s">
        <v>8</v>
      </c>
      <c r="S127" s="28" t="s">
        <v>8</v>
      </c>
      <c r="T127" s="28" t="s">
        <v>8</v>
      </c>
      <c r="U127" s="28" t="s">
        <v>8</v>
      </c>
      <c r="V127" s="28" t="s">
        <v>8</v>
      </c>
      <c r="W127" s="28" t="s">
        <v>8</v>
      </c>
      <c r="X127" s="28" t="s">
        <v>8</v>
      </c>
      <c r="Y127" s="28" t="s">
        <v>8</v>
      </c>
      <c r="Z127" s="28" t="s">
        <v>8</v>
      </c>
      <c r="AA127" s="28" t="s">
        <v>8</v>
      </c>
      <c r="AB127" s="28" t="s">
        <v>8</v>
      </c>
      <c r="AC127" s="28" t="s">
        <v>8</v>
      </c>
      <c r="AD127" s="28" t="s">
        <v>8</v>
      </c>
      <c r="AE127" s="28" t="s">
        <v>8</v>
      </c>
      <c r="AF127" s="28" t="s">
        <v>8</v>
      </c>
      <c r="AG127" s="28" t="s">
        <v>8</v>
      </c>
      <c r="AH127" s="28" t="s">
        <v>8</v>
      </c>
      <c r="AI127" s="28" t="s">
        <v>8</v>
      </c>
      <c r="AJ127" s="28" t="s">
        <v>8</v>
      </c>
      <c r="AK127" s="28">
        <v>35</v>
      </c>
      <c r="AL127" s="28">
        <v>35</v>
      </c>
      <c r="AM127" s="28">
        <v>35</v>
      </c>
      <c r="AN127" s="28">
        <v>35</v>
      </c>
      <c r="AO127" s="28">
        <v>35</v>
      </c>
      <c r="AP127" s="28">
        <v>35</v>
      </c>
      <c r="AQ127" s="28">
        <v>35</v>
      </c>
      <c r="AR127" s="28">
        <v>35</v>
      </c>
      <c r="AS127" s="28">
        <v>35</v>
      </c>
      <c r="AT127" s="28">
        <v>35</v>
      </c>
      <c r="AU127" s="28">
        <v>30</v>
      </c>
      <c r="AV127" s="28">
        <v>30</v>
      </c>
      <c r="AW127" s="28">
        <v>30</v>
      </c>
    </row>
    <row r="128" spans="2:49">
      <c r="B128" s="1" t="s">
        <v>367</v>
      </c>
      <c r="C128" s="1" t="s">
        <v>368</v>
      </c>
      <c r="D128" s="1" t="s">
        <v>6</v>
      </c>
      <c r="E128" s="1" t="s">
        <v>369</v>
      </c>
      <c r="F128" s="28" t="s">
        <v>8</v>
      </c>
      <c r="G128" s="28" t="s">
        <v>8</v>
      </c>
      <c r="H128" s="28" t="s">
        <v>8</v>
      </c>
      <c r="I128" s="28" t="s">
        <v>8</v>
      </c>
      <c r="J128" s="28" t="s">
        <v>8</v>
      </c>
      <c r="K128" s="28" t="s">
        <v>8</v>
      </c>
      <c r="L128" s="28" t="s">
        <v>8</v>
      </c>
      <c r="M128" s="28" t="s">
        <v>8</v>
      </c>
      <c r="N128" s="28" t="s">
        <v>8</v>
      </c>
      <c r="O128" s="28" t="s">
        <v>8</v>
      </c>
      <c r="P128" s="28" t="s">
        <v>8</v>
      </c>
      <c r="Q128" s="28" t="s">
        <v>8</v>
      </c>
      <c r="R128" s="28" t="s">
        <v>8</v>
      </c>
      <c r="S128" s="28" t="s">
        <v>8</v>
      </c>
      <c r="T128" s="28" t="s">
        <v>8</v>
      </c>
      <c r="U128" s="28" t="s">
        <v>8</v>
      </c>
      <c r="V128" s="28" t="s">
        <v>8</v>
      </c>
      <c r="W128" s="28" t="s">
        <v>8</v>
      </c>
      <c r="X128" s="28" t="s">
        <v>8</v>
      </c>
      <c r="Y128" s="28" t="s">
        <v>8</v>
      </c>
      <c r="Z128" s="28">
        <v>0</v>
      </c>
      <c r="AA128" s="28">
        <v>0</v>
      </c>
      <c r="AB128" s="28">
        <v>0</v>
      </c>
      <c r="AC128" s="28">
        <v>0</v>
      </c>
      <c r="AD128" s="28">
        <v>0</v>
      </c>
      <c r="AE128" s="28">
        <v>0</v>
      </c>
      <c r="AF128" s="28">
        <v>0</v>
      </c>
      <c r="AG128" s="28">
        <v>0</v>
      </c>
      <c r="AH128" s="28">
        <v>0</v>
      </c>
      <c r="AI128" s="28">
        <v>0</v>
      </c>
      <c r="AJ128" s="28">
        <v>35</v>
      </c>
      <c r="AK128" s="28">
        <v>35</v>
      </c>
      <c r="AL128" s="28">
        <v>35</v>
      </c>
      <c r="AM128" s="28">
        <v>33</v>
      </c>
      <c r="AN128" s="28">
        <v>33</v>
      </c>
      <c r="AO128" s="28">
        <v>33</v>
      </c>
      <c r="AP128" s="28">
        <v>33</v>
      </c>
      <c r="AQ128" s="28">
        <v>33</v>
      </c>
      <c r="AR128" s="28">
        <v>33</v>
      </c>
      <c r="AS128" s="28">
        <v>33</v>
      </c>
      <c r="AT128" s="28">
        <v>33</v>
      </c>
      <c r="AU128" s="28">
        <v>33</v>
      </c>
      <c r="AV128" s="28">
        <v>33</v>
      </c>
      <c r="AW128" s="28">
        <v>33</v>
      </c>
    </row>
    <row r="129" spans="2:49">
      <c r="B129" s="1" t="s">
        <v>370</v>
      </c>
      <c r="C129" s="1" t="s">
        <v>371</v>
      </c>
      <c r="D129" s="1" t="s">
        <v>11</v>
      </c>
      <c r="E129" s="1" t="s">
        <v>372</v>
      </c>
      <c r="F129" s="28" t="s">
        <v>8</v>
      </c>
      <c r="G129" s="28" t="s">
        <v>8</v>
      </c>
      <c r="H129" s="28" t="s">
        <v>8</v>
      </c>
      <c r="I129" s="28" t="s">
        <v>8</v>
      </c>
      <c r="J129" s="28" t="s">
        <v>8</v>
      </c>
      <c r="K129" s="28" t="s">
        <v>8</v>
      </c>
      <c r="L129" s="28" t="s">
        <v>8</v>
      </c>
      <c r="M129" s="28" t="s">
        <v>8</v>
      </c>
      <c r="N129" s="28" t="s">
        <v>8</v>
      </c>
      <c r="O129" s="28" t="s">
        <v>8</v>
      </c>
      <c r="P129" s="28" t="s">
        <v>8</v>
      </c>
      <c r="Q129" s="28" t="s">
        <v>8</v>
      </c>
      <c r="R129" s="28" t="s">
        <v>8</v>
      </c>
      <c r="S129" s="28" t="s">
        <v>8</v>
      </c>
      <c r="T129" s="28" t="s">
        <v>8</v>
      </c>
      <c r="U129" s="28" t="s">
        <v>8</v>
      </c>
      <c r="V129" s="28" t="s">
        <v>8</v>
      </c>
      <c r="W129" s="28">
        <v>30.8</v>
      </c>
      <c r="X129" s="28">
        <v>30.8</v>
      </c>
      <c r="Y129" s="28">
        <v>30.8</v>
      </c>
      <c r="Z129" s="28">
        <v>30.8</v>
      </c>
      <c r="AA129" s="28">
        <v>30.8</v>
      </c>
      <c r="AB129" s="28">
        <v>29.7</v>
      </c>
      <c r="AC129" s="28">
        <v>29.7</v>
      </c>
      <c r="AD129" s="28">
        <v>29.7</v>
      </c>
      <c r="AE129" s="28">
        <v>27.5</v>
      </c>
      <c r="AF129" s="28">
        <v>27.5</v>
      </c>
      <c r="AG129" s="28">
        <v>27.5</v>
      </c>
      <c r="AH129" s="28">
        <v>27.5</v>
      </c>
      <c r="AI129" s="28">
        <v>24.2</v>
      </c>
      <c r="AJ129" s="28">
        <v>24.2</v>
      </c>
      <c r="AK129" s="28">
        <v>24.2</v>
      </c>
      <c r="AL129" s="28">
        <v>24.2</v>
      </c>
      <c r="AM129" s="28">
        <v>24.2</v>
      </c>
      <c r="AN129" s="28">
        <v>24.2</v>
      </c>
      <c r="AO129" s="28">
        <v>24.2</v>
      </c>
      <c r="AP129" s="28">
        <v>24.2</v>
      </c>
      <c r="AQ129" s="28">
        <v>24.2</v>
      </c>
      <c r="AR129" s="28">
        <v>27.5</v>
      </c>
      <c r="AS129" s="28">
        <v>27.5</v>
      </c>
      <c r="AT129" s="28">
        <v>27.5</v>
      </c>
      <c r="AU129" s="28">
        <v>27.5</v>
      </c>
      <c r="AV129" s="28">
        <v>27.5</v>
      </c>
      <c r="AW129" s="28">
        <v>26.5</v>
      </c>
    </row>
    <row r="130" spans="2:49">
      <c r="B130" s="1" t="s">
        <v>373</v>
      </c>
      <c r="C130" s="1" t="s">
        <v>374</v>
      </c>
      <c r="D130" s="1" t="s">
        <v>11</v>
      </c>
      <c r="E130" s="1" t="s">
        <v>375</v>
      </c>
      <c r="F130" s="28">
        <v>50</v>
      </c>
      <c r="G130" s="28">
        <v>50</v>
      </c>
      <c r="H130" s="28">
        <v>55</v>
      </c>
      <c r="I130" s="28">
        <v>55</v>
      </c>
      <c r="J130" s="28">
        <v>55</v>
      </c>
      <c r="K130" s="28">
        <v>55</v>
      </c>
      <c r="L130" s="28">
        <v>55</v>
      </c>
      <c r="M130" s="28">
        <v>55</v>
      </c>
      <c r="N130" s="28">
        <v>55</v>
      </c>
      <c r="O130" s="28">
        <v>55</v>
      </c>
      <c r="P130" s="28">
        <v>55</v>
      </c>
      <c r="Q130" s="28">
        <v>55</v>
      </c>
      <c r="R130" s="28">
        <v>55</v>
      </c>
      <c r="S130" s="28">
        <v>55</v>
      </c>
      <c r="T130" s="28">
        <v>55</v>
      </c>
      <c r="U130" s="28">
        <v>55</v>
      </c>
      <c r="V130" s="28">
        <v>55</v>
      </c>
      <c r="W130" s="28">
        <v>55</v>
      </c>
      <c r="X130" s="28" t="s">
        <v>8</v>
      </c>
      <c r="Y130" s="28" t="s">
        <v>8</v>
      </c>
      <c r="Z130" s="28" t="s">
        <v>8</v>
      </c>
      <c r="AA130" s="28">
        <v>55</v>
      </c>
      <c r="AB130" s="28">
        <v>55</v>
      </c>
      <c r="AC130" s="28">
        <v>55</v>
      </c>
      <c r="AD130" s="28">
        <v>55</v>
      </c>
      <c r="AE130" s="28">
        <v>55</v>
      </c>
      <c r="AF130" s="28">
        <v>55</v>
      </c>
      <c r="AG130" s="28">
        <v>55</v>
      </c>
      <c r="AH130" s="28">
        <v>55</v>
      </c>
      <c r="AI130" s="28">
        <v>15</v>
      </c>
      <c r="AJ130" s="28">
        <v>15</v>
      </c>
      <c r="AK130" s="28">
        <v>15</v>
      </c>
      <c r="AL130" s="28">
        <v>15</v>
      </c>
      <c r="AM130" s="28">
        <v>15</v>
      </c>
      <c r="AN130" s="28">
        <v>15</v>
      </c>
      <c r="AO130" s="28">
        <v>15</v>
      </c>
      <c r="AP130" s="28">
        <v>15</v>
      </c>
      <c r="AQ130" s="28">
        <v>15</v>
      </c>
      <c r="AR130" s="28">
        <v>15</v>
      </c>
      <c r="AS130" s="28">
        <v>15</v>
      </c>
      <c r="AT130" s="28">
        <v>15</v>
      </c>
      <c r="AU130" s="28">
        <v>15</v>
      </c>
      <c r="AV130" s="28">
        <v>15</v>
      </c>
      <c r="AW130" s="28">
        <v>15</v>
      </c>
    </row>
    <row r="131" spans="2:49">
      <c r="B131" s="1" t="s">
        <v>376</v>
      </c>
      <c r="C131" s="1" t="s">
        <v>377</v>
      </c>
      <c r="D131" s="1" t="s">
        <v>11</v>
      </c>
      <c r="E131" s="1" t="s">
        <v>790</v>
      </c>
      <c r="F131" s="28" t="s">
        <v>8</v>
      </c>
      <c r="G131" s="28" t="s">
        <v>8</v>
      </c>
      <c r="H131" s="28" t="s">
        <v>8</v>
      </c>
      <c r="I131" s="28" t="s">
        <v>8</v>
      </c>
      <c r="J131" s="28" t="s">
        <v>8</v>
      </c>
      <c r="K131" s="28" t="s">
        <v>8</v>
      </c>
      <c r="L131" s="28" t="s">
        <v>8</v>
      </c>
      <c r="M131" s="28" t="s">
        <v>8</v>
      </c>
      <c r="N131" s="28" t="s">
        <v>8</v>
      </c>
      <c r="O131" s="28" t="s">
        <v>8</v>
      </c>
      <c r="P131" s="28" t="s">
        <v>8</v>
      </c>
      <c r="Q131" s="28" t="s">
        <v>8</v>
      </c>
      <c r="R131" s="28" t="s">
        <v>8</v>
      </c>
      <c r="S131" s="28" t="s">
        <v>8</v>
      </c>
      <c r="T131" s="28" t="s">
        <v>8</v>
      </c>
      <c r="U131" s="28" t="s">
        <v>8</v>
      </c>
      <c r="V131" s="28" t="s">
        <v>8</v>
      </c>
      <c r="W131" s="28" t="s">
        <v>8</v>
      </c>
      <c r="X131" s="28" t="s">
        <v>8</v>
      </c>
      <c r="Y131" s="28" t="s">
        <v>8</v>
      </c>
      <c r="Z131" s="28" t="s">
        <v>8</v>
      </c>
      <c r="AA131" s="28" t="s">
        <v>8</v>
      </c>
      <c r="AB131" s="28" t="s">
        <v>8</v>
      </c>
      <c r="AC131" s="28" t="s">
        <v>8</v>
      </c>
      <c r="AD131" s="28" t="s">
        <v>8</v>
      </c>
      <c r="AE131" s="28" t="s">
        <v>8</v>
      </c>
      <c r="AF131" s="28" t="s">
        <v>8</v>
      </c>
      <c r="AG131" s="28" t="s">
        <v>8</v>
      </c>
      <c r="AH131" s="28" t="s">
        <v>8</v>
      </c>
      <c r="AI131" s="28">
        <v>35</v>
      </c>
      <c r="AJ131" s="28">
        <v>35</v>
      </c>
      <c r="AK131" s="28">
        <v>35</v>
      </c>
      <c r="AL131" s="28">
        <v>28</v>
      </c>
      <c r="AM131" s="28">
        <v>24</v>
      </c>
      <c r="AN131" s="28">
        <v>24</v>
      </c>
      <c r="AO131" s="28">
        <v>24</v>
      </c>
      <c r="AP131" s="28">
        <v>24</v>
      </c>
      <c r="AQ131" s="28">
        <v>24</v>
      </c>
      <c r="AR131" s="28">
        <v>24</v>
      </c>
      <c r="AS131" s="28">
        <v>24</v>
      </c>
      <c r="AT131" s="28">
        <v>24</v>
      </c>
      <c r="AU131" s="28">
        <v>20</v>
      </c>
      <c r="AV131" s="28">
        <v>20</v>
      </c>
      <c r="AW131" s="28">
        <v>20</v>
      </c>
    </row>
    <row r="132" spans="2:49">
      <c r="B132" s="1" t="s">
        <v>378</v>
      </c>
      <c r="C132" s="1" t="s">
        <v>379</v>
      </c>
      <c r="D132" s="1" t="s">
        <v>11</v>
      </c>
      <c r="E132" s="1" t="s">
        <v>380</v>
      </c>
      <c r="F132" s="28">
        <v>44</v>
      </c>
      <c r="G132" s="28">
        <v>22</v>
      </c>
      <c r="H132" s="28">
        <v>22</v>
      </c>
      <c r="I132" s="28">
        <v>22</v>
      </c>
      <c r="J132" s="28">
        <v>22</v>
      </c>
      <c r="K132" s="28">
        <v>22</v>
      </c>
      <c r="L132" s="28" t="s">
        <v>8</v>
      </c>
      <c r="M132" s="28" t="s">
        <v>8</v>
      </c>
      <c r="N132" s="28" t="s">
        <v>8</v>
      </c>
      <c r="O132" s="28" t="s">
        <v>8</v>
      </c>
      <c r="P132" s="28" t="s">
        <v>8</v>
      </c>
      <c r="Q132" s="28">
        <v>26</v>
      </c>
      <c r="R132" s="28" t="s">
        <v>8</v>
      </c>
      <c r="S132" s="28" t="s">
        <v>8</v>
      </c>
      <c r="T132" s="28" t="s">
        <v>8</v>
      </c>
      <c r="U132" s="28" t="s">
        <v>8</v>
      </c>
      <c r="V132" s="28">
        <v>10</v>
      </c>
      <c r="W132" s="28">
        <v>10</v>
      </c>
      <c r="X132" s="28">
        <v>10</v>
      </c>
      <c r="Y132" s="28">
        <v>10</v>
      </c>
      <c r="Z132" s="28">
        <v>10</v>
      </c>
      <c r="AA132" s="28">
        <v>15</v>
      </c>
      <c r="AB132" s="28">
        <v>15</v>
      </c>
      <c r="AC132" s="28" t="s">
        <v>8</v>
      </c>
      <c r="AD132" s="28">
        <v>15</v>
      </c>
      <c r="AE132" s="28">
        <v>15</v>
      </c>
      <c r="AF132" s="28">
        <v>15</v>
      </c>
      <c r="AG132" s="28">
        <v>15</v>
      </c>
      <c r="AH132" s="28">
        <v>15</v>
      </c>
      <c r="AI132" s="28">
        <v>15</v>
      </c>
      <c r="AJ132" s="28">
        <v>15</v>
      </c>
      <c r="AK132" s="28">
        <v>15</v>
      </c>
      <c r="AL132" s="28">
        <v>15</v>
      </c>
      <c r="AM132" s="28">
        <v>15</v>
      </c>
      <c r="AN132" s="28">
        <v>15</v>
      </c>
      <c r="AO132" s="28">
        <v>15</v>
      </c>
      <c r="AP132" s="28">
        <v>15</v>
      </c>
      <c r="AQ132" s="28">
        <v>15</v>
      </c>
      <c r="AR132" s="28">
        <v>15</v>
      </c>
      <c r="AS132" s="28">
        <v>17</v>
      </c>
      <c r="AT132" s="28">
        <v>17</v>
      </c>
      <c r="AU132" s="28">
        <v>17</v>
      </c>
      <c r="AV132" s="28">
        <v>17</v>
      </c>
      <c r="AW132" s="28">
        <v>17</v>
      </c>
    </row>
    <row r="133" spans="2:49">
      <c r="B133" s="1" t="s">
        <v>381</v>
      </c>
      <c r="C133" s="1" t="s">
        <v>382</v>
      </c>
      <c r="D133" s="1" t="s">
        <v>9</v>
      </c>
      <c r="E133" s="1" t="s">
        <v>383</v>
      </c>
      <c r="F133" s="28" t="s">
        <v>8</v>
      </c>
      <c r="G133" s="28" t="s">
        <v>8</v>
      </c>
      <c r="H133" s="28">
        <v>50</v>
      </c>
      <c r="I133" s="28">
        <v>50</v>
      </c>
      <c r="J133" s="28">
        <v>50</v>
      </c>
      <c r="K133" s="28">
        <v>50</v>
      </c>
      <c r="L133" s="28">
        <v>50</v>
      </c>
      <c r="M133" s="28">
        <v>50</v>
      </c>
      <c r="N133" s="28">
        <v>50</v>
      </c>
      <c r="O133" s="28">
        <v>50</v>
      </c>
      <c r="P133" s="28">
        <v>50</v>
      </c>
      <c r="Q133" s="28">
        <v>50</v>
      </c>
      <c r="R133" s="28" t="s">
        <v>8</v>
      </c>
      <c r="S133" s="28" t="s">
        <v>8</v>
      </c>
      <c r="T133" s="28" t="s">
        <v>8</v>
      </c>
      <c r="U133" s="28" t="s">
        <v>8</v>
      </c>
      <c r="V133" s="28" t="s">
        <v>8</v>
      </c>
      <c r="W133" s="28" t="s">
        <v>8</v>
      </c>
      <c r="X133" s="28" t="s">
        <v>8</v>
      </c>
      <c r="Y133" s="28" t="s">
        <v>8</v>
      </c>
      <c r="Z133" s="28">
        <v>35</v>
      </c>
      <c r="AA133" s="28">
        <v>35</v>
      </c>
      <c r="AB133" s="28">
        <v>35</v>
      </c>
      <c r="AC133" s="28">
        <v>35</v>
      </c>
      <c r="AD133" s="28">
        <v>35</v>
      </c>
      <c r="AE133" s="28">
        <v>35</v>
      </c>
      <c r="AF133" s="28">
        <v>35</v>
      </c>
      <c r="AG133" s="28">
        <v>35</v>
      </c>
      <c r="AH133" s="28">
        <v>35</v>
      </c>
      <c r="AI133" s="28">
        <v>35</v>
      </c>
      <c r="AJ133" s="28">
        <v>35</v>
      </c>
      <c r="AK133" s="28">
        <v>25</v>
      </c>
      <c r="AL133" s="28">
        <v>25</v>
      </c>
      <c r="AM133" s="28">
        <v>25</v>
      </c>
      <c r="AN133" s="28">
        <v>25</v>
      </c>
      <c r="AO133" s="28">
        <v>25</v>
      </c>
      <c r="AP133" s="28">
        <v>25</v>
      </c>
      <c r="AQ133" s="28">
        <v>25</v>
      </c>
      <c r="AR133" s="28">
        <v>25</v>
      </c>
      <c r="AS133" s="28">
        <v>25</v>
      </c>
      <c r="AT133" s="28">
        <v>25</v>
      </c>
      <c r="AU133" s="28">
        <v>25</v>
      </c>
      <c r="AV133" s="28">
        <v>25</v>
      </c>
      <c r="AW133" s="28">
        <v>25</v>
      </c>
    </row>
    <row r="134" spans="2:49">
      <c r="B134" s="1" t="s">
        <v>384</v>
      </c>
      <c r="C134" s="1" t="s">
        <v>385</v>
      </c>
      <c r="D134" s="1" t="s">
        <v>9</v>
      </c>
      <c r="E134" s="1" t="s">
        <v>386</v>
      </c>
      <c r="F134" s="28" t="s">
        <v>8</v>
      </c>
      <c r="G134" s="28" t="s">
        <v>8</v>
      </c>
      <c r="H134" s="28" t="s">
        <v>8</v>
      </c>
      <c r="I134" s="28" t="s">
        <v>8</v>
      </c>
      <c r="J134" s="28" t="s">
        <v>8</v>
      </c>
      <c r="K134" s="28" t="s">
        <v>8</v>
      </c>
      <c r="L134" s="28" t="s">
        <v>8</v>
      </c>
      <c r="M134" s="28" t="s">
        <v>8</v>
      </c>
      <c r="N134" s="28" t="s">
        <v>8</v>
      </c>
      <c r="O134" s="28" t="s">
        <v>8</v>
      </c>
      <c r="P134" s="28" t="s">
        <v>8</v>
      </c>
      <c r="Q134" s="28">
        <v>60</v>
      </c>
      <c r="R134" s="28" t="s">
        <v>8</v>
      </c>
      <c r="S134" s="28" t="s">
        <v>8</v>
      </c>
      <c r="T134" s="28" t="s">
        <v>8</v>
      </c>
      <c r="U134" s="28" t="s">
        <v>8</v>
      </c>
      <c r="V134" s="28">
        <v>60</v>
      </c>
      <c r="W134" s="28">
        <v>60</v>
      </c>
      <c r="X134" s="28">
        <v>60</v>
      </c>
      <c r="Y134" s="28">
        <v>60</v>
      </c>
      <c r="Z134" s="28">
        <v>35</v>
      </c>
      <c r="AA134" s="28">
        <v>35</v>
      </c>
      <c r="AB134" s="28">
        <v>35</v>
      </c>
      <c r="AC134" s="28">
        <v>30.38</v>
      </c>
      <c r="AD134" s="28">
        <v>30.38</v>
      </c>
      <c r="AE134" s="28">
        <v>30.38</v>
      </c>
      <c r="AF134" s="28">
        <v>30.38</v>
      </c>
      <c r="AG134" s="28">
        <v>40</v>
      </c>
      <c r="AH134" s="28">
        <v>40</v>
      </c>
      <c r="AI134" s="28">
        <v>40</v>
      </c>
      <c r="AJ134" s="28">
        <v>40</v>
      </c>
      <c r="AK134" s="28">
        <v>20</v>
      </c>
      <c r="AL134" s="28">
        <v>20</v>
      </c>
      <c r="AM134" s="28">
        <v>20</v>
      </c>
      <c r="AN134" s="28">
        <v>20</v>
      </c>
      <c r="AO134" s="28">
        <v>20</v>
      </c>
      <c r="AP134" s="28">
        <v>20</v>
      </c>
      <c r="AQ134" s="28">
        <v>20</v>
      </c>
      <c r="AR134" s="28">
        <v>20</v>
      </c>
      <c r="AS134" s="28">
        <v>20</v>
      </c>
      <c r="AT134" s="28">
        <v>20</v>
      </c>
      <c r="AU134" s="28">
        <v>20</v>
      </c>
      <c r="AV134" s="28">
        <v>20</v>
      </c>
      <c r="AW134" s="28">
        <v>20</v>
      </c>
    </row>
    <row r="135" spans="2:49">
      <c r="B135" s="1" t="s">
        <v>387</v>
      </c>
      <c r="C135" s="1" t="s">
        <v>388</v>
      </c>
      <c r="D135" s="1" t="s">
        <v>6</v>
      </c>
      <c r="E135" s="1" t="s">
        <v>389</v>
      </c>
      <c r="F135" s="28" t="s">
        <v>8</v>
      </c>
      <c r="G135" s="28" t="s">
        <v>8</v>
      </c>
      <c r="H135" s="28" t="s">
        <v>8</v>
      </c>
      <c r="I135" s="28" t="s">
        <v>8</v>
      </c>
      <c r="J135" s="28" t="s">
        <v>8</v>
      </c>
      <c r="K135" s="28" t="s">
        <v>8</v>
      </c>
      <c r="L135" s="28" t="s">
        <v>8</v>
      </c>
      <c r="M135" s="28" t="s">
        <v>8</v>
      </c>
      <c r="N135" s="28" t="s">
        <v>8</v>
      </c>
      <c r="O135" s="28" t="s">
        <v>8</v>
      </c>
      <c r="P135" s="28">
        <v>33.299999999999997</v>
      </c>
      <c r="Q135" s="28">
        <v>33.299999999999997</v>
      </c>
      <c r="R135" s="28">
        <v>33.299999999999997</v>
      </c>
      <c r="S135" s="28">
        <v>33.299999999999997</v>
      </c>
      <c r="T135" s="28">
        <v>33.299999999999997</v>
      </c>
      <c r="U135" s="28">
        <v>33.299999999999997</v>
      </c>
      <c r="V135" s="28">
        <v>33.299999999999997</v>
      </c>
      <c r="W135" s="28">
        <v>33.299999999999997</v>
      </c>
      <c r="X135" s="28">
        <v>33.299999999999997</v>
      </c>
      <c r="Y135" s="28" t="s">
        <v>8</v>
      </c>
      <c r="Z135" s="28">
        <v>30</v>
      </c>
      <c r="AA135" s="28">
        <v>30</v>
      </c>
      <c r="AB135" s="28">
        <v>30</v>
      </c>
      <c r="AC135" s="28">
        <v>30</v>
      </c>
      <c r="AD135" s="28">
        <v>30</v>
      </c>
      <c r="AE135" s="28">
        <v>30</v>
      </c>
      <c r="AF135" s="28">
        <v>30</v>
      </c>
      <c r="AG135" s="28">
        <v>30</v>
      </c>
      <c r="AH135" s="28">
        <v>30</v>
      </c>
      <c r="AI135" s="28">
        <v>30</v>
      </c>
      <c r="AJ135" s="28">
        <v>30</v>
      </c>
      <c r="AK135" s="28">
        <v>30</v>
      </c>
      <c r="AL135" s="28">
        <v>30</v>
      </c>
      <c r="AM135" s="28">
        <v>30</v>
      </c>
      <c r="AN135" s="28">
        <v>30</v>
      </c>
      <c r="AO135" s="28">
        <v>33.33</v>
      </c>
      <c r="AP135" s="28">
        <v>33.33</v>
      </c>
      <c r="AQ135" s="28">
        <v>30</v>
      </c>
      <c r="AR135" s="28">
        <v>30</v>
      </c>
      <c r="AS135" s="28">
        <v>30</v>
      </c>
      <c r="AT135" s="28">
        <v>30</v>
      </c>
      <c r="AU135" s="28">
        <v>30</v>
      </c>
      <c r="AV135" s="28">
        <v>30</v>
      </c>
      <c r="AW135" s="28">
        <v>30</v>
      </c>
    </row>
    <row r="136" spans="2:49">
      <c r="B136" s="1" t="s">
        <v>390</v>
      </c>
      <c r="C136" s="1" t="s">
        <v>391</v>
      </c>
      <c r="D136" s="1" t="s">
        <v>21</v>
      </c>
      <c r="E136" s="1" t="s">
        <v>392</v>
      </c>
      <c r="F136" s="28" t="s">
        <v>8</v>
      </c>
      <c r="G136" s="28" t="s">
        <v>8</v>
      </c>
      <c r="H136" s="28" t="s">
        <v>8</v>
      </c>
      <c r="I136" s="28" t="s">
        <v>8</v>
      </c>
      <c r="J136" s="28">
        <v>15</v>
      </c>
      <c r="K136" s="28">
        <v>15</v>
      </c>
      <c r="L136" s="28">
        <v>15</v>
      </c>
      <c r="M136" s="28">
        <v>15</v>
      </c>
      <c r="N136" s="28">
        <v>15</v>
      </c>
      <c r="O136" s="28">
        <v>15</v>
      </c>
      <c r="P136" s="28">
        <v>15</v>
      </c>
      <c r="Q136" s="28">
        <v>15</v>
      </c>
      <c r="R136" s="28">
        <v>15</v>
      </c>
      <c r="S136" s="28">
        <v>15</v>
      </c>
      <c r="T136" s="28">
        <v>15</v>
      </c>
      <c r="U136" s="28">
        <v>15</v>
      </c>
      <c r="V136" s="28">
        <v>15</v>
      </c>
      <c r="W136" s="28">
        <v>15</v>
      </c>
      <c r="X136" s="28">
        <v>15</v>
      </c>
      <c r="Y136" s="28">
        <v>15</v>
      </c>
      <c r="Z136" s="28">
        <v>15</v>
      </c>
      <c r="AA136" s="28">
        <v>15</v>
      </c>
      <c r="AB136" s="28">
        <v>15</v>
      </c>
      <c r="AC136" s="28">
        <v>20</v>
      </c>
      <c r="AD136" s="28">
        <v>20</v>
      </c>
      <c r="AE136" s="28">
        <v>20</v>
      </c>
      <c r="AF136" s="28">
        <v>20</v>
      </c>
      <c r="AG136" s="28">
        <v>20</v>
      </c>
      <c r="AH136" s="28">
        <v>20</v>
      </c>
      <c r="AI136" s="28">
        <v>20</v>
      </c>
      <c r="AJ136" s="28">
        <v>15</v>
      </c>
      <c r="AK136" s="28">
        <v>12.5</v>
      </c>
      <c r="AL136" s="28">
        <v>12.5</v>
      </c>
      <c r="AM136" s="28">
        <v>12.5</v>
      </c>
      <c r="AN136" s="28">
        <v>12.5</v>
      </c>
      <c r="AO136" s="28">
        <v>12.5</v>
      </c>
      <c r="AP136" s="28">
        <v>12.5</v>
      </c>
      <c r="AQ136" s="28">
        <v>12.5</v>
      </c>
      <c r="AR136" s="28">
        <v>12.5</v>
      </c>
      <c r="AS136" s="28">
        <v>12.5</v>
      </c>
      <c r="AT136" s="28">
        <v>12.5</v>
      </c>
      <c r="AU136" s="28">
        <v>12.5</v>
      </c>
      <c r="AV136" s="28">
        <v>12.5</v>
      </c>
      <c r="AW136" s="28">
        <v>12.5</v>
      </c>
    </row>
    <row r="137" spans="2:49">
      <c r="B137" s="1" t="s">
        <v>393</v>
      </c>
      <c r="C137" s="1" t="s">
        <v>394</v>
      </c>
      <c r="D137" s="1" t="s">
        <v>11</v>
      </c>
      <c r="E137" s="1" t="s">
        <v>395</v>
      </c>
      <c r="F137" s="28">
        <v>50</v>
      </c>
      <c r="G137" s="28">
        <v>50</v>
      </c>
      <c r="H137" s="28" t="s">
        <v>8</v>
      </c>
      <c r="I137" s="28" t="s">
        <v>8</v>
      </c>
      <c r="J137" s="28" t="s">
        <v>8</v>
      </c>
      <c r="K137" s="28" t="s">
        <v>8</v>
      </c>
      <c r="L137" s="28" t="s">
        <v>8</v>
      </c>
      <c r="M137" s="28" t="s">
        <v>8</v>
      </c>
      <c r="N137" s="28" t="s">
        <v>8</v>
      </c>
      <c r="O137" s="28" t="s">
        <v>8</v>
      </c>
      <c r="P137" s="28" t="s">
        <v>8</v>
      </c>
      <c r="Q137" s="28">
        <v>50</v>
      </c>
      <c r="R137" s="28" t="s">
        <v>8</v>
      </c>
      <c r="S137" s="28" t="s">
        <v>8</v>
      </c>
      <c r="T137" s="28" t="s">
        <v>8</v>
      </c>
      <c r="U137" s="28">
        <v>45</v>
      </c>
      <c r="V137" s="28">
        <v>35</v>
      </c>
      <c r="W137" s="28">
        <v>35</v>
      </c>
      <c r="X137" s="28">
        <v>35</v>
      </c>
      <c r="Y137" s="28">
        <v>35</v>
      </c>
      <c r="Z137" s="28">
        <v>35</v>
      </c>
      <c r="AA137" s="28">
        <v>35</v>
      </c>
      <c r="AB137" s="28">
        <v>42</v>
      </c>
      <c r="AC137" s="28">
        <v>35</v>
      </c>
      <c r="AD137" s="28">
        <v>35</v>
      </c>
      <c r="AE137" s="28">
        <v>32.5</v>
      </c>
      <c r="AF137" s="28">
        <v>32.5</v>
      </c>
      <c r="AG137" s="28">
        <v>35</v>
      </c>
      <c r="AH137" s="28">
        <v>35</v>
      </c>
      <c r="AI137" s="28">
        <v>35</v>
      </c>
      <c r="AJ137" s="28">
        <v>35</v>
      </c>
      <c r="AK137" s="28">
        <v>28</v>
      </c>
      <c r="AL137" s="28">
        <v>28</v>
      </c>
      <c r="AM137" s="28">
        <v>28</v>
      </c>
      <c r="AN137" s="28">
        <v>28</v>
      </c>
      <c r="AO137" s="28">
        <v>28</v>
      </c>
      <c r="AP137" s="28">
        <v>28</v>
      </c>
      <c r="AQ137" s="28">
        <v>28</v>
      </c>
      <c r="AR137" s="28">
        <v>28</v>
      </c>
      <c r="AS137" s="28">
        <v>28</v>
      </c>
      <c r="AT137" s="28">
        <v>28</v>
      </c>
      <c r="AU137" s="28">
        <v>24</v>
      </c>
      <c r="AV137" s="28">
        <v>24</v>
      </c>
      <c r="AW137" s="28">
        <v>30</v>
      </c>
    </row>
    <row r="138" spans="2:49">
      <c r="B138" s="1" t="s">
        <v>396</v>
      </c>
      <c r="C138" s="1" t="s">
        <v>397</v>
      </c>
      <c r="D138" s="1" t="s">
        <v>9</v>
      </c>
      <c r="E138" s="1" t="s">
        <v>398</v>
      </c>
      <c r="F138" s="28">
        <v>37.5</v>
      </c>
      <c r="G138" s="28" t="s">
        <v>8</v>
      </c>
      <c r="H138" s="28" t="s">
        <v>8</v>
      </c>
      <c r="I138" s="28" t="s">
        <v>8</v>
      </c>
      <c r="J138" s="28" t="s">
        <v>8</v>
      </c>
      <c r="K138" s="28" t="s">
        <v>8</v>
      </c>
      <c r="L138" s="28" t="s">
        <v>8</v>
      </c>
      <c r="M138" s="28" t="s">
        <v>8</v>
      </c>
      <c r="N138" s="28" t="s">
        <v>8</v>
      </c>
      <c r="O138" s="28" t="s">
        <v>8</v>
      </c>
      <c r="P138" s="28" t="s">
        <v>8</v>
      </c>
      <c r="Q138" s="28" t="s">
        <v>8</v>
      </c>
      <c r="R138" s="28" t="s">
        <v>8</v>
      </c>
      <c r="S138" s="28" t="s">
        <v>8</v>
      </c>
      <c r="T138" s="28" t="s">
        <v>8</v>
      </c>
      <c r="U138" s="28" t="s">
        <v>8</v>
      </c>
      <c r="V138" s="28">
        <v>40</v>
      </c>
      <c r="W138" s="28">
        <v>40</v>
      </c>
      <c r="X138" s="28">
        <v>35</v>
      </c>
      <c r="Y138" s="28">
        <v>35</v>
      </c>
      <c r="Z138" s="28">
        <v>35</v>
      </c>
      <c r="AA138" s="28">
        <v>35</v>
      </c>
      <c r="AB138" s="28">
        <v>35</v>
      </c>
      <c r="AC138" s="28" t="s">
        <v>8</v>
      </c>
      <c r="AD138" s="28">
        <v>35</v>
      </c>
      <c r="AE138" s="28">
        <v>35</v>
      </c>
      <c r="AF138" s="28">
        <v>35</v>
      </c>
      <c r="AG138" s="28">
        <v>25</v>
      </c>
      <c r="AH138" s="28">
        <v>25</v>
      </c>
      <c r="AI138" s="28">
        <v>25</v>
      </c>
      <c r="AJ138" s="28">
        <v>25</v>
      </c>
      <c r="AK138" s="28">
        <v>25</v>
      </c>
      <c r="AL138" s="28">
        <v>25</v>
      </c>
      <c r="AM138" s="28">
        <v>25</v>
      </c>
      <c r="AN138" s="28">
        <v>25</v>
      </c>
      <c r="AO138" s="28">
        <v>25</v>
      </c>
      <c r="AP138" s="28">
        <v>25</v>
      </c>
      <c r="AQ138" s="28">
        <v>25</v>
      </c>
      <c r="AR138" s="28">
        <v>25</v>
      </c>
      <c r="AS138" s="28">
        <v>25</v>
      </c>
      <c r="AT138" s="28">
        <v>25</v>
      </c>
      <c r="AU138" s="28">
        <v>25</v>
      </c>
      <c r="AV138" s="28">
        <v>25</v>
      </c>
      <c r="AW138" s="28">
        <v>25</v>
      </c>
    </row>
    <row r="139" spans="2:49">
      <c r="B139" s="1" t="s">
        <v>399</v>
      </c>
      <c r="C139" s="1" t="s">
        <v>400</v>
      </c>
      <c r="D139" s="1" t="s">
        <v>21</v>
      </c>
      <c r="E139" s="1" t="s">
        <v>401</v>
      </c>
      <c r="F139" s="28" t="s">
        <v>8</v>
      </c>
      <c r="G139" s="28" t="s">
        <v>8</v>
      </c>
      <c r="H139" s="28" t="s">
        <v>8</v>
      </c>
      <c r="I139" s="28" t="s">
        <v>8</v>
      </c>
      <c r="J139" s="28" t="s">
        <v>8</v>
      </c>
      <c r="K139" s="28" t="s">
        <v>8</v>
      </c>
      <c r="L139" s="28" t="s">
        <v>8</v>
      </c>
      <c r="M139" s="28" t="s">
        <v>8</v>
      </c>
      <c r="N139" s="28" t="s">
        <v>8</v>
      </c>
      <c r="O139" s="28" t="s">
        <v>8</v>
      </c>
      <c r="P139" s="28" t="s">
        <v>8</v>
      </c>
      <c r="Q139" s="28" t="s">
        <v>8</v>
      </c>
      <c r="R139" s="28" t="s">
        <v>8</v>
      </c>
      <c r="S139" s="28">
        <v>29</v>
      </c>
      <c r="T139" s="28">
        <v>29</v>
      </c>
      <c r="U139" s="28">
        <v>29</v>
      </c>
      <c r="V139" s="28">
        <v>29</v>
      </c>
      <c r="W139" s="28">
        <v>29</v>
      </c>
      <c r="X139" s="28">
        <v>29</v>
      </c>
      <c r="Y139" s="28">
        <v>29</v>
      </c>
      <c r="Z139" s="28">
        <v>29</v>
      </c>
      <c r="AA139" s="28">
        <v>24</v>
      </c>
      <c r="AB139" s="28">
        <v>24</v>
      </c>
      <c r="AC139" s="28">
        <v>15</v>
      </c>
      <c r="AD139" s="28">
        <v>15</v>
      </c>
      <c r="AE139" s="28">
        <v>15</v>
      </c>
      <c r="AF139" s="28">
        <v>15</v>
      </c>
      <c r="AG139" s="28">
        <v>15</v>
      </c>
      <c r="AH139" s="28">
        <v>15</v>
      </c>
      <c r="AI139" s="28">
        <v>20</v>
      </c>
      <c r="AJ139" s="28">
        <v>15</v>
      </c>
      <c r="AK139" s="28">
        <v>15</v>
      </c>
      <c r="AL139" s="28">
        <v>15</v>
      </c>
      <c r="AM139" s="28">
        <v>15</v>
      </c>
      <c r="AN139" s="28">
        <v>15</v>
      </c>
      <c r="AO139" s="28">
        <v>15</v>
      </c>
      <c r="AP139" s="28">
        <v>15</v>
      </c>
      <c r="AQ139" s="28">
        <v>15</v>
      </c>
      <c r="AR139" s="28">
        <v>15</v>
      </c>
      <c r="AS139" s="28">
        <v>15</v>
      </c>
      <c r="AT139" s="28">
        <v>15</v>
      </c>
      <c r="AU139" s="28">
        <v>15</v>
      </c>
      <c r="AV139" s="28">
        <v>15</v>
      </c>
      <c r="AW139" s="28">
        <v>15</v>
      </c>
    </row>
    <row r="140" spans="2:49">
      <c r="B140" s="1" t="s">
        <v>402</v>
      </c>
      <c r="C140" s="1" t="s">
        <v>403</v>
      </c>
      <c r="D140" s="1" t="s">
        <v>21</v>
      </c>
      <c r="E140" s="1" t="s">
        <v>404</v>
      </c>
      <c r="F140" s="28" t="s">
        <v>8</v>
      </c>
      <c r="G140" s="28" t="s">
        <v>8</v>
      </c>
      <c r="H140" s="28" t="s">
        <v>8</v>
      </c>
      <c r="I140" s="28" t="s">
        <v>8</v>
      </c>
      <c r="J140" s="28" t="s">
        <v>8</v>
      </c>
      <c r="K140" s="28" t="s">
        <v>8</v>
      </c>
      <c r="L140" s="28" t="s">
        <v>8</v>
      </c>
      <c r="M140" s="28" t="s">
        <v>8</v>
      </c>
      <c r="N140" s="28" t="s">
        <v>8</v>
      </c>
      <c r="O140" s="28" t="s">
        <v>8</v>
      </c>
      <c r="P140" s="28" t="s">
        <v>8</v>
      </c>
      <c r="Q140" s="28" t="s">
        <v>8</v>
      </c>
      <c r="R140" s="28" t="s">
        <v>8</v>
      </c>
      <c r="S140" s="28">
        <v>39.39</v>
      </c>
      <c r="T140" s="28">
        <v>39.39</v>
      </c>
      <c r="U140" s="28">
        <v>40.29</v>
      </c>
      <c r="V140" s="28">
        <v>40.29</v>
      </c>
      <c r="W140" s="28">
        <v>30.34</v>
      </c>
      <c r="X140" s="28">
        <v>37.450000000000003</v>
      </c>
      <c r="Y140" s="28">
        <v>37.450000000000003</v>
      </c>
      <c r="Z140" s="28">
        <v>37.450000000000003</v>
      </c>
      <c r="AA140" s="28">
        <v>37.450000000000003</v>
      </c>
      <c r="AB140" s="28">
        <v>30.38</v>
      </c>
      <c r="AC140" s="28">
        <v>30.38</v>
      </c>
      <c r="AD140" s="28">
        <v>30.38</v>
      </c>
      <c r="AE140" s="28">
        <v>30.38</v>
      </c>
      <c r="AF140" s="28">
        <v>29.63</v>
      </c>
      <c r="AG140" s="28">
        <v>29.63</v>
      </c>
      <c r="AH140" s="28">
        <v>29.63</v>
      </c>
      <c r="AI140" s="28">
        <v>28.59</v>
      </c>
      <c r="AJ140" s="28">
        <v>28.59</v>
      </c>
      <c r="AK140" s="28">
        <v>28.8</v>
      </c>
      <c r="AL140" s="28">
        <v>28.8</v>
      </c>
      <c r="AM140" s="28">
        <v>29.22</v>
      </c>
      <c r="AN140" s="28">
        <v>29.22</v>
      </c>
      <c r="AO140" s="28">
        <v>29.22</v>
      </c>
      <c r="AP140" s="28">
        <v>29.22</v>
      </c>
      <c r="AQ140" s="28">
        <v>27.08</v>
      </c>
      <c r="AR140" s="28">
        <v>26.01</v>
      </c>
      <c r="AS140" s="28">
        <v>24.94</v>
      </c>
      <c r="AT140" s="28">
        <v>24.94</v>
      </c>
      <c r="AU140" s="28">
        <v>24.94</v>
      </c>
      <c r="AV140" s="28">
        <v>24.94</v>
      </c>
      <c r="AW140" s="28">
        <v>24.94</v>
      </c>
    </row>
    <row r="141" spans="2:49">
      <c r="B141" s="1" t="s">
        <v>405</v>
      </c>
      <c r="C141" s="1" t="s">
        <v>406</v>
      </c>
      <c r="D141" s="1" t="s">
        <v>21</v>
      </c>
      <c r="E141" s="1" t="s">
        <v>407</v>
      </c>
      <c r="F141" s="28" t="s">
        <v>8</v>
      </c>
      <c r="G141" s="28" t="s">
        <v>8</v>
      </c>
      <c r="H141" s="28" t="s">
        <v>8</v>
      </c>
      <c r="I141" s="28" t="s">
        <v>8</v>
      </c>
      <c r="J141" s="28" t="s">
        <v>8</v>
      </c>
      <c r="K141" s="28" t="s">
        <v>8</v>
      </c>
      <c r="L141" s="28" t="s">
        <v>8</v>
      </c>
      <c r="M141" s="28" t="s">
        <v>8</v>
      </c>
      <c r="N141" s="28" t="s">
        <v>8</v>
      </c>
      <c r="O141" s="28" t="s">
        <v>8</v>
      </c>
      <c r="P141" s="28" t="s">
        <v>8</v>
      </c>
      <c r="Q141" s="28" t="s">
        <v>8</v>
      </c>
      <c r="R141" s="28" t="s">
        <v>8</v>
      </c>
      <c r="S141" s="28" t="s">
        <v>8</v>
      </c>
      <c r="T141" s="28" t="s">
        <v>8</v>
      </c>
      <c r="U141" s="28">
        <v>25</v>
      </c>
      <c r="V141" s="28">
        <v>25</v>
      </c>
      <c r="W141" s="28">
        <v>25</v>
      </c>
      <c r="X141" s="28">
        <v>25</v>
      </c>
      <c r="Y141" s="28">
        <v>25</v>
      </c>
      <c r="Z141" s="28">
        <v>25</v>
      </c>
      <c r="AA141" s="28">
        <v>25</v>
      </c>
      <c r="AB141" s="28">
        <v>22</v>
      </c>
      <c r="AC141" s="28">
        <v>19</v>
      </c>
      <c r="AD141" s="28">
        <v>15</v>
      </c>
      <c r="AE141" s="28">
        <v>15</v>
      </c>
      <c r="AF141" s="28">
        <v>15</v>
      </c>
      <c r="AG141" s="28">
        <v>15</v>
      </c>
      <c r="AH141" s="28">
        <v>15</v>
      </c>
      <c r="AI141" s="28">
        <v>15</v>
      </c>
      <c r="AJ141" s="28">
        <v>15</v>
      </c>
      <c r="AK141" s="28">
        <v>15</v>
      </c>
      <c r="AL141" s="28">
        <v>15</v>
      </c>
      <c r="AM141" s="28">
        <v>15</v>
      </c>
      <c r="AN141" s="28">
        <v>15</v>
      </c>
      <c r="AO141" s="28">
        <v>15</v>
      </c>
      <c r="AP141" s="28">
        <v>15</v>
      </c>
      <c r="AQ141" s="28">
        <v>15</v>
      </c>
      <c r="AR141" s="28">
        <v>20</v>
      </c>
      <c r="AS141" s="28">
        <v>20</v>
      </c>
      <c r="AT141" s="28">
        <v>20</v>
      </c>
      <c r="AU141" s="28">
        <v>20</v>
      </c>
      <c r="AV141" s="28">
        <v>20</v>
      </c>
      <c r="AW141" s="28">
        <v>20</v>
      </c>
    </row>
    <row r="142" spans="2:49">
      <c r="B142" s="1" t="s">
        <v>408</v>
      </c>
      <c r="C142" s="1" t="s">
        <v>409</v>
      </c>
      <c r="D142" s="1" t="s">
        <v>11</v>
      </c>
      <c r="E142" s="1" t="s">
        <v>791</v>
      </c>
      <c r="F142" s="28" t="s">
        <v>8</v>
      </c>
      <c r="G142" s="28" t="s">
        <v>8</v>
      </c>
      <c r="H142" s="28" t="s">
        <v>8</v>
      </c>
      <c r="I142" s="28" t="s">
        <v>8</v>
      </c>
      <c r="J142" s="28">
        <v>15</v>
      </c>
      <c r="K142" s="28">
        <v>15</v>
      </c>
      <c r="L142" s="28">
        <v>15</v>
      </c>
      <c r="M142" s="28">
        <v>15</v>
      </c>
      <c r="N142" s="28">
        <v>15</v>
      </c>
      <c r="O142" s="28">
        <v>15</v>
      </c>
      <c r="P142" s="28">
        <v>15</v>
      </c>
      <c r="Q142" s="28">
        <v>15</v>
      </c>
      <c r="R142" s="28">
        <v>15</v>
      </c>
      <c r="S142" s="28">
        <v>15</v>
      </c>
      <c r="T142" s="28">
        <v>15</v>
      </c>
      <c r="U142" s="28">
        <v>15</v>
      </c>
      <c r="V142" s="28">
        <v>15</v>
      </c>
      <c r="W142" s="28">
        <v>15</v>
      </c>
      <c r="X142" s="28">
        <v>15</v>
      </c>
      <c r="Y142" s="28">
        <v>15</v>
      </c>
      <c r="Z142" s="28">
        <v>15</v>
      </c>
      <c r="AA142" s="28">
        <v>15</v>
      </c>
      <c r="AB142" s="28">
        <v>15</v>
      </c>
      <c r="AC142" s="28">
        <v>15</v>
      </c>
      <c r="AD142" s="28">
        <v>12</v>
      </c>
      <c r="AE142" s="28">
        <v>12</v>
      </c>
      <c r="AF142" s="28">
        <v>12</v>
      </c>
      <c r="AG142" s="28">
        <v>12</v>
      </c>
      <c r="AH142" s="28">
        <v>12</v>
      </c>
      <c r="AI142" s="28">
        <v>12</v>
      </c>
      <c r="AJ142" s="28">
        <v>12</v>
      </c>
      <c r="AK142" s="28">
        <v>12</v>
      </c>
      <c r="AL142" s="28">
        <v>12</v>
      </c>
      <c r="AM142" s="28">
        <v>12</v>
      </c>
      <c r="AN142" s="28">
        <v>12</v>
      </c>
      <c r="AO142" s="28">
        <v>12</v>
      </c>
      <c r="AP142" s="28">
        <v>12</v>
      </c>
      <c r="AQ142" s="28">
        <v>12</v>
      </c>
      <c r="AR142" s="28">
        <v>12</v>
      </c>
      <c r="AS142" s="28">
        <v>12</v>
      </c>
      <c r="AT142" s="28">
        <v>12</v>
      </c>
      <c r="AU142" s="28">
        <v>12</v>
      </c>
      <c r="AV142" s="28">
        <v>12</v>
      </c>
      <c r="AW142" s="28">
        <v>12</v>
      </c>
    </row>
    <row r="143" spans="2:49">
      <c r="B143" s="1" t="s">
        <v>410</v>
      </c>
      <c r="C143" s="1" t="s">
        <v>411</v>
      </c>
      <c r="D143" s="1" t="s">
        <v>6</v>
      </c>
      <c r="E143" s="1" t="s">
        <v>412</v>
      </c>
      <c r="F143" s="28" t="s">
        <v>8</v>
      </c>
      <c r="G143" s="28" t="s">
        <v>8</v>
      </c>
      <c r="H143" s="28" t="s">
        <v>8</v>
      </c>
      <c r="I143" s="28" t="s">
        <v>8</v>
      </c>
      <c r="J143" s="28" t="s">
        <v>8</v>
      </c>
      <c r="K143" s="28" t="s">
        <v>8</v>
      </c>
      <c r="L143" s="28" t="s">
        <v>8</v>
      </c>
      <c r="M143" s="28" t="s">
        <v>8</v>
      </c>
      <c r="N143" s="28" t="s">
        <v>8</v>
      </c>
      <c r="O143" s="28" t="s">
        <v>8</v>
      </c>
      <c r="P143" s="28" t="s">
        <v>8</v>
      </c>
      <c r="Q143" s="28" t="s">
        <v>8</v>
      </c>
      <c r="R143" s="28" t="s">
        <v>8</v>
      </c>
      <c r="S143" s="28" t="s">
        <v>8</v>
      </c>
      <c r="T143" s="28" t="s">
        <v>8</v>
      </c>
      <c r="U143" s="28" t="s">
        <v>8</v>
      </c>
      <c r="V143" s="28" t="s">
        <v>8</v>
      </c>
      <c r="W143" s="28" t="s">
        <v>8</v>
      </c>
      <c r="X143" s="28" t="s">
        <v>8</v>
      </c>
      <c r="Y143" s="28" t="s">
        <v>8</v>
      </c>
      <c r="Z143" s="28" t="s">
        <v>8</v>
      </c>
      <c r="AA143" s="28" t="s">
        <v>8</v>
      </c>
      <c r="AB143" s="28" t="s">
        <v>8</v>
      </c>
      <c r="AC143" s="28" t="s">
        <v>8</v>
      </c>
      <c r="AD143" s="28" t="s">
        <v>8</v>
      </c>
      <c r="AE143" s="28" t="s">
        <v>8</v>
      </c>
      <c r="AF143" s="28" t="s">
        <v>8</v>
      </c>
      <c r="AG143" s="28" t="s">
        <v>8</v>
      </c>
      <c r="AH143" s="28" t="s">
        <v>8</v>
      </c>
      <c r="AI143" s="28" t="s">
        <v>8</v>
      </c>
      <c r="AJ143" s="28" t="s">
        <v>8</v>
      </c>
      <c r="AK143" s="28" t="s">
        <v>8</v>
      </c>
      <c r="AL143" s="28" t="s">
        <v>8</v>
      </c>
      <c r="AM143" s="28" t="s">
        <v>8</v>
      </c>
      <c r="AN143" s="28" t="s">
        <v>8</v>
      </c>
      <c r="AO143" s="28">
        <v>24.5</v>
      </c>
      <c r="AP143" s="28">
        <v>34.5</v>
      </c>
      <c r="AQ143" s="28">
        <v>20</v>
      </c>
      <c r="AR143" s="28">
        <v>20</v>
      </c>
      <c r="AS143" s="28">
        <v>20</v>
      </c>
      <c r="AT143" s="28">
        <v>20</v>
      </c>
      <c r="AU143" s="28">
        <v>20</v>
      </c>
      <c r="AV143" s="28">
        <v>20</v>
      </c>
      <c r="AW143" s="28">
        <v>20</v>
      </c>
    </row>
    <row r="144" spans="2:49">
      <c r="B144" s="1" t="s">
        <v>413</v>
      </c>
      <c r="C144" s="1" t="s">
        <v>414</v>
      </c>
      <c r="D144" s="1" t="s">
        <v>9</v>
      </c>
      <c r="E144" s="1" t="s">
        <v>415</v>
      </c>
      <c r="F144" s="28">
        <v>48</v>
      </c>
      <c r="G144" s="28">
        <v>48</v>
      </c>
      <c r="H144" s="28">
        <v>48</v>
      </c>
      <c r="I144" s="28">
        <v>48</v>
      </c>
      <c r="J144" s="28">
        <v>48</v>
      </c>
      <c r="K144" s="28">
        <v>48</v>
      </c>
      <c r="L144" s="28">
        <v>48</v>
      </c>
      <c r="M144" s="28">
        <v>48</v>
      </c>
      <c r="N144" s="28">
        <v>40</v>
      </c>
      <c r="O144" s="28">
        <v>40</v>
      </c>
      <c r="P144" s="28">
        <v>40</v>
      </c>
      <c r="Q144" s="28">
        <v>40</v>
      </c>
      <c r="R144" s="28">
        <v>40</v>
      </c>
      <c r="S144" s="28">
        <v>38</v>
      </c>
      <c r="T144" s="28">
        <v>36</v>
      </c>
      <c r="U144" s="28">
        <v>36</v>
      </c>
      <c r="V144" s="28">
        <v>35</v>
      </c>
      <c r="W144" s="28">
        <v>35</v>
      </c>
      <c r="X144" s="28">
        <v>35</v>
      </c>
      <c r="Y144" s="28">
        <v>35</v>
      </c>
      <c r="Z144" s="28">
        <v>35</v>
      </c>
      <c r="AA144" s="28">
        <v>35</v>
      </c>
      <c r="AB144" s="28">
        <v>35</v>
      </c>
      <c r="AC144" s="28">
        <v>35</v>
      </c>
      <c r="AD144" s="28">
        <v>35</v>
      </c>
      <c r="AE144" s="28">
        <v>35</v>
      </c>
      <c r="AF144" s="28">
        <v>35</v>
      </c>
      <c r="AG144" s="28">
        <v>35</v>
      </c>
      <c r="AH144" s="28">
        <v>30</v>
      </c>
      <c r="AI144" s="28">
        <v>30</v>
      </c>
      <c r="AJ144" s="28">
        <v>30</v>
      </c>
      <c r="AK144" s="28">
        <v>30</v>
      </c>
      <c r="AL144" s="28">
        <v>30</v>
      </c>
      <c r="AM144" s="28">
        <v>30</v>
      </c>
      <c r="AN144" s="28">
        <v>30</v>
      </c>
      <c r="AO144" s="28">
        <v>30</v>
      </c>
      <c r="AP144" s="28">
        <v>31</v>
      </c>
      <c r="AQ144" s="28">
        <v>31</v>
      </c>
      <c r="AR144" s="28">
        <v>31</v>
      </c>
      <c r="AS144" s="28">
        <v>31</v>
      </c>
      <c r="AT144" s="28">
        <v>31</v>
      </c>
      <c r="AU144" s="28">
        <v>31</v>
      </c>
      <c r="AV144" s="28">
        <v>31</v>
      </c>
      <c r="AW144" s="28">
        <v>32</v>
      </c>
    </row>
    <row r="145" spans="2:49">
      <c r="B145" s="1" t="s">
        <v>416</v>
      </c>
      <c r="C145" s="1" t="s">
        <v>417</v>
      </c>
      <c r="D145" s="1" t="s">
        <v>21</v>
      </c>
      <c r="E145" s="1" t="s">
        <v>418</v>
      </c>
      <c r="F145" s="28" t="s">
        <v>8</v>
      </c>
      <c r="G145" s="28" t="s">
        <v>8</v>
      </c>
      <c r="H145" s="28" t="s">
        <v>8</v>
      </c>
      <c r="I145" s="28" t="s">
        <v>8</v>
      </c>
      <c r="J145" s="28" t="s">
        <v>8</v>
      </c>
      <c r="K145" s="28" t="s">
        <v>8</v>
      </c>
      <c r="L145" s="28" t="s">
        <v>8</v>
      </c>
      <c r="M145" s="28" t="s">
        <v>8</v>
      </c>
      <c r="N145" s="28" t="s">
        <v>8</v>
      </c>
      <c r="O145" s="28" t="s">
        <v>8</v>
      </c>
      <c r="P145" s="28" t="s">
        <v>8</v>
      </c>
      <c r="Q145" s="28" t="s">
        <v>8</v>
      </c>
      <c r="R145" s="28" t="s">
        <v>8</v>
      </c>
      <c r="S145" s="28" t="s">
        <v>8</v>
      </c>
      <c r="T145" s="28" t="s">
        <v>8</v>
      </c>
      <c r="U145" s="28" t="s">
        <v>8</v>
      </c>
      <c r="V145" s="28" t="s">
        <v>8</v>
      </c>
      <c r="W145" s="28" t="s">
        <v>8</v>
      </c>
      <c r="X145" s="28">
        <v>33.299999999999997</v>
      </c>
      <c r="Y145" s="28">
        <v>33.299999999999997</v>
      </c>
      <c r="Z145" s="28">
        <v>33.299999999999997</v>
      </c>
      <c r="AA145" s="28">
        <v>33.299999999999997</v>
      </c>
      <c r="AB145" s="28">
        <v>33.299999999999997</v>
      </c>
      <c r="AC145" s="28">
        <v>33.33</v>
      </c>
      <c r="AD145" s="28">
        <v>33.33</v>
      </c>
      <c r="AE145" s="28">
        <v>33.33</v>
      </c>
      <c r="AF145" s="28">
        <v>33.33</v>
      </c>
      <c r="AG145" s="28">
        <v>33.33</v>
      </c>
      <c r="AH145" s="28">
        <v>33.33</v>
      </c>
      <c r="AI145" s="28">
        <v>33.33</v>
      </c>
      <c r="AJ145" s="28">
        <v>33.33</v>
      </c>
      <c r="AK145" s="28">
        <v>33.33</v>
      </c>
      <c r="AL145" s="28">
        <v>33.33</v>
      </c>
      <c r="AM145" s="28">
        <v>33.33</v>
      </c>
      <c r="AN145" s="28">
        <v>33.33</v>
      </c>
      <c r="AO145" s="28">
        <v>33.33</v>
      </c>
      <c r="AP145" s="28">
        <v>33.33</v>
      </c>
      <c r="AQ145" s="28">
        <v>33.33</v>
      </c>
      <c r="AR145" s="28">
        <v>33.33</v>
      </c>
      <c r="AS145" s="28">
        <v>31</v>
      </c>
      <c r="AT145" s="28">
        <v>28</v>
      </c>
      <c r="AU145" s="28">
        <v>26.5</v>
      </c>
      <c r="AV145" s="28">
        <v>25</v>
      </c>
      <c r="AW145" s="28">
        <v>25</v>
      </c>
    </row>
    <row r="146" spans="2:49">
      <c r="B146" s="1" t="s">
        <v>419</v>
      </c>
      <c r="C146" s="1" t="s">
        <v>420</v>
      </c>
      <c r="D146" s="1" t="s">
        <v>21</v>
      </c>
      <c r="E146" s="1" t="s">
        <v>772</v>
      </c>
      <c r="F146" s="28" t="s">
        <v>8</v>
      </c>
      <c r="G146" s="28" t="s">
        <v>8</v>
      </c>
      <c r="H146" s="28" t="s">
        <v>8</v>
      </c>
      <c r="I146" s="28" t="s">
        <v>8</v>
      </c>
      <c r="J146" s="28" t="s">
        <v>8</v>
      </c>
      <c r="K146" s="28" t="s">
        <v>8</v>
      </c>
      <c r="L146" s="28" t="s">
        <v>8</v>
      </c>
      <c r="M146" s="28" t="s">
        <v>8</v>
      </c>
      <c r="N146" s="28" t="s">
        <v>8</v>
      </c>
      <c r="O146" s="28" t="s">
        <v>8</v>
      </c>
      <c r="P146" s="28" t="s">
        <v>8</v>
      </c>
      <c r="Q146" s="28" t="s">
        <v>8</v>
      </c>
      <c r="R146" s="28" t="s">
        <v>8</v>
      </c>
      <c r="S146" s="28" t="s">
        <v>8</v>
      </c>
      <c r="T146" s="28" t="s">
        <v>8</v>
      </c>
      <c r="U146" s="28" t="s">
        <v>8</v>
      </c>
      <c r="V146" s="28" t="s">
        <v>8</v>
      </c>
      <c r="W146" s="28" t="s">
        <v>8</v>
      </c>
      <c r="X146" s="28" t="s">
        <v>8</v>
      </c>
      <c r="Y146" s="28" t="s">
        <v>8</v>
      </c>
      <c r="Z146" s="28" t="s">
        <v>8</v>
      </c>
      <c r="AA146" s="28" t="s">
        <v>8</v>
      </c>
      <c r="AB146" s="28" t="s">
        <v>8</v>
      </c>
      <c r="AC146" s="28" t="s">
        <v>8</v>
      </c>
      <c r="AD146" s="28">
        <v>20</v>
      </c>
      <c r="AE146" s="28">
        <v>18</v>
      </c>
      <c r="AF146" s="28">
        <v>15</v>
      </c>
      <c r="AG146" s="28">
        <v>15</v>
      </c>
      <c r="AH146" s="28">
        <v>0</v>
      </c>
      <c r="AI146" s="28">
        <v>0</v>
      </c>
      <c r="AJ146" s="28">
        <v>0</v>
      </c>
      <c r="AK146" s="28">
        <v>0</v>
      </c>
      <c r="AL146" s="28">
        <v>0</v>
      </c>
      <c r="AM146" s="28">
        <v>12</v>
      </c>
      <c r="AN146" s="28">
        <v>12</v>
      </c>
      <c r="AO146" s="28">
        <v>18</v>
      </c>
      <c r="AP146" s="28">
        <v>12</v>
      </c>
      <c r="AQ146" s="28">
        <v>12</v>
      </c>
      <c r="AR146" s="28">
        <v>12</v>
      </c>
      <c r="AS146" s="28">
        <v>12</v>
      </c>
      <c r="AT146" s="28">
        <v>12</v>
      </c>
      <c r="AU146" s="28">
        <v>12</v>
      </c>
      <c r="AV146" s="28">
        <v>12</v>
      </c>
      <c r="AW146" s="28">
        <v>12</v>
      </c>
    </row>
    <row r="147" spans="2:49">
      <c r="B147" s="1" t="s">
        <v>421</v>
      </c>
      <c r="C147" s="1" t="s">
        <v>422</v>
      </c>
      <c r="D147" s="1" t="s">
        <v>9</v>
      </c>
      <c r="E147" s="1" t="s">
        <v>423</v>
      </c>
      <c r="F147" s="28" t="s">
        <v>8</v>
      </c>
      <c r="G147" s="28" t="s">
        <v>8</v>
      </c>
      <c r="H147" s="28" t="s">
        <v>8</v>
      </c>
      <c r="I147" s="28" t="s">
        <v>8</v>
      </c>
      <c r="J147" s="28" t="s">
        <v>8</v>
      </c>
      <c r="K147" s="28" t="s">
        <v>8</v>
      </c>
      <c r="L147" s="28" t="s">
        <v>8</v>
      </c>
      <c r="M147" s="28" t="s">
        <v>8</v>
      </c>
      <c r="N147" s="28" t="s">
        <v>8</v>
      </c>
      <c r="O147" s="28" t="s">
        <v>8</v>
      </c>
      <c r="P147" s="28" t="s">
        <v>8</v>
      </c>
      <c r="Q147" s="28" t="s">
        <v>8</v>
      </c>
      <c r="R147" s="28" t="s">
        <v>8</v>
      </c>
      <c r="S147" s="28" t="s">
        <v>8</v>
      </c>
      <c r="T147" s="28" t="s">
        <v>8</v>
      </c>
      <c r="U147" s="28" t="s">
        <v>8</v>
      </c>
      <c r="V147" s="28" t="s">
        <v>8</v>
      </c>
      <c r="W147" s="28" t="s">
        <v>8</v>
      </c>
      <c r="X147" s="28" t="s">
        <v>8</v>
      </c>
      <c r="Y147" s="28" t="s">
        <v>8</v>
      </c>
      <c r="Z147" s="28" t="s">
        <v>8</v>
      </c>
      <c r="AA147" s="28" t="s">
        <v>8</v>
      </c>
      <c r="AB147" s="28" t="s">
        <v>8</v>
      </c>
      <c r="AC147" s="28" t="s">
        <v>8</v>
      </c>
      <c r="AD147" s="28" t="s">
        <v>8</v>
      </c>
      <c r="AE147" s="28" t="s">
        <v>8</v>
      </c>
      <c r="AF147" s="28" t="s">
        <v>8</v>
      </c>
      <c r="AG147" s="28">
        <v>30</v>
      </c>
      <c r="AH147" s="28">
        <v>25</v>
      </c>
      <c r="AI147" s="28">
        <v>24</v>
      </c>
      <c r="AJ147" s="28">
        <v>24</v>
      </c>
      <c r="AK147" s="28">
        <v>23</v>
      </c>
      <c r="AL147" s="28">
        <v>21</v>
      </c>
      <c r="AM147" s="28">
        <v>20</v>
      </c>
      <c r="AN147" s="28">
        <v>20</v>
      </c>
      <c r="AO147" s="28">
        <v>20</v>
      </c>
      <c r="AP147" s="28">
        <v>20</v>
      </c>
      <c r="AQ147" s="28">
        <v>20</v>
      </c>
      <c r="AR147" s="28">
        <v>20</v>
      </c>
      <c r="AS147" s="28">
        <v>20</v>
      </c>
      <c r="AT147" s="28">
        <v>20</v>
      </c>
      <c r="AU147" s="28">
        <v>20</v>
      </c>
      <c r="AV147" s="28">
        <v>20</v>
      </c>
      <c r="AW147" s="28">
        <v>20</v>
      </c>
    </row>
    <row r="148" spans="2:49">
      <c r="B148" s="1" t="s">
        <v>424</v>
      </c>
      <c r="C148" s="1" t="s">
        <v>425</v>
      </c>
      <c r="D148" s="1" t="s">
        <v>11</v>
      </c>
      <c r="E148" s="1" t="s">
        <v>426</v>
      </c>
      <c r="F148" s="28" t="s">
        <v>8</v>
      </c>
      <c r="G148" s="28" t="s">
        <v>8</v>
      </c>
      <c r="H148" s="28" t="s">
        <v>8</v>
      </c>
      <c r="I148" s="28" t="s">
        <v>8</v>
      </c>
      <c r="J148" s="28" t="s">
        <v>8</v>
      </c>
      <c r="K148" s="28" t="s">
        <v>8</v>
      </c>
      <c r="L148" s="28" t="s">
        <v>8</v>
      </c>
      <c r="M148" s="28" t="s">
        <v>8</v>
      </c>
      <c r="N148" s="28" t="s">
        <v>8</v>
      </c>
      <c r="O148" s="28" t="s">
        <v>8</v>
      </c>
      <c r="P148" s="28" t="s">
        <v>8</v>
      </c>
      <c r="Q148" s="28" t="s">
        <v>8</v>
      </c>
      <c r="R148" s="28" t="s">
        <v>8</v>
      </c>
      <c r="S148" s="28" t="s">
        <v>8</v>
      </c>
      <c r="T148" s="28" t="s">
        <v>8</v>
      </c>
      <c r="U148" s="28" t="s">
        <v>8</v>
      </c>
      <c r="V148" s="28" t="s">
        <v>8</v>
      </c>
      <c r="W148" s="28" t="s">
        <v>8</v>
      </c>
      <c r="X148" s="28" t="s">
        <v>8</v>
      </c>
      <c r="Y148" s="28" t="s">
        <v>8</v>
      </c>
      <c r="Z148" s="28">
        <v>0</v>
      </c>
      <c r="AA148" s="28">
        <v>0</v>
      </c>
      <c r="AB148" s="28">
        <v>0</v>
      </c>
      <c r="AC148" s="28">
        <v>0</v>
      </c>
      <c r="AD148" s="28">
        <v>0</v>
      </c>
      <c r="AE148" s="28">
        <v>0</v>
      </c>
      <c r="AF148" s="28">
        <v>0</v>
      </c>
      <c r="AG148" s="28">
        <v>0</v>
      </c>
      <c r="AH148" s="28">
        <v>0</v>
      </c>
      <c r="AI148" s="28">
        <v>0</v>
      </c>
      <c r="AJ148" s="28">
        <v>0</v>
      </c>
      <c r="AK148" s="28">
        <v>0</v>
      </c>
      <c r="AL148" s="28">
        <v>0</v>
      </c>
      <c r="AM148" s="28">
        <v>0</v>
      </c>
      <c r="AN148" s="28">
        <v>15</v>
      </c>
      <c r="AO148" s="28">
        <v>15</v>
      </c>
      <c r="AP148" s="28">
        <v>15</v>
      </c>
      <c r="AQ148" s="28">
        <v>15</v>
      </c>
      <c r="AR148" s="28">
        <v>15</v>
      </c>
      <c r="AS148" s="28">
        <v>15</v>
      </c>
      <c r="AT148" s="28">
        <v>15</v>
      </c>
      <c r="AU148" s="28">
        <v>15</v>
      </c>
      <c r="AV148" s="28">
        <v>15</v>
      </c>
      <c r="AW148" s="28">
        <v>15</v>
      </c>
    </row>
    <row r="149" spans="2:49">
      <c r="B149" s="1" t="s">
        <v>427</v>
      </c>
      <c r="C149" s="1" t="s">
        <v>428</v>
      </c>
      <c r="D149" s="1" t="s">
        <v>6</v>
      </c>
      <c r="E149" s="1" t="s">
        <v>429</v>
      </c>
      <c r="F149" s="28">
        <v>42</v>
      </c>
      <c r="G149" s="28">
        <v>42</v>
      </c>
      <c r="H149" s="28">
        <v>42</v>
      </c>
      <c r="I149" s="28">
        <v>42</v>
      </c>
      <c r="J149" s="28">
        <v>42</v>
      </c>
      <c r="K149" s="28">
        <v>42</v>
      </c>
      <c r="L149" s="28">
        <v>42</v>
      </c>
      <c r="M149" s="28">
        <v>40.6</v>
      </c>
      <c r="N149" s="28">
        <v>39.200000000000003</v>
      </c>
      <c r="O149" s="28">
        <v>37</v>
      </c>
      <c r="P149" s="28">
        <v>36</v>
      </c>
      <c r="Q149" s="28">
        <v>35</v>
      </c>
      <c r="R149" s="28">
        <v>35</v>
      </c>
      <c r="S149" s="28">
        <v>34.799999999999997</v>
      </c>
      <c r="T149" s="28">
        <v>34</v>
      </c>
      <c r="U149" s="28">
        <v>34</v>
      </c>
      <c r="V149" s="28">
        <v>34</v>
      </c>
      <c r="W149" s="28">
        <v>34</v>
      </c>
      <c r="X149" s="28">
        <v>34</v>
      </c>
      <c r="Y149" s="28">
        <v>35</v>
      </c>
      <c r="Z149" s="28">
        <v>35</v>
      </c>
      <c r="AA149" s="28">
        <v>35</v>
      </c>
      <c r="AB149" s="28">
        <v>35</v>
      </c>
      <c r="AC149" s="28">
        <v>34</v>
      </c>
      <c r="AD149" s="28">
        <v>33</v>
      </c>
      <c r="AE149" s="28">
        <v>30</v>
      </c>
      <c r="AF149" s="28">
        <v>29</v>
      </c>
      <c r="AG149" s="28">
        <v>28</v>
      </c>
      <c r="AH149" s="28">
        <v>28</v>
      </c>
      <c r="AI149" s="28">
        <v>28</v>
      </c>
      <c r="AJ149" s="28">
        <v>30</v>
      </c>
      <c r="AK149" s="28">
        <v>30</v>
      </c>
      <c r="AL149" s="28">
        <v>30</v>
      </c>
      <c r="AM149" s="28">
        <v>30</v>
      </c>
      <c r="AN149" s="28">
        <v>30</v>
      </c>
      <c r="AO149" s="28">
        <v>30</v>
      </c>
      <c r="AP149" s="28">
        <v>30</v>
      </c>
      <c r="AQ149" s="28">
        <v>30</v>
      </c>
      <c r="AR149" s="28">
        <v>30</v>
      </c>
      <c r="AS149" s="28">
        <v>30</v>
      </c>
      <c r="AT149" s="28">
        <v>30</v>
      </c>
      <c r="AU149" s="28">
        <v>30</v>
      </c>
      <c r="AV149" s="28">
        <v>30</v>
      </c>
      <c r="AW149" s="28">
        <v>30</v>
      </c>
    </row>
    <row r="150" spans="2:49">
      <c r="B150" s="1" t="s">
        <v>430</v>
      </c>
      <c r="C150" s="1" t="s">
        <v>431</v>
      </c>
      <c r="D150" s="1" t="s">
        <v>43</v>
      </c>
      <c r="E150" s="1" t="s">
        <v>432</v>
      </c>
      <c r="F150" s="28" t="s">
        <v>8</v>
      </c>
      <c r="G150" s="28" t="s">
        <v>8</v>
      </c>
      <c r="H150" s="28" t="s">
        <v>8</v>
      </c>
      <c r="I150" s="28" t="s">
        <v>8</v>
      </c>
      <c r="J150" s="28" t="s">
        <v>8</v>
      </c>
      <c r="K150" s="28" t="s">
        <v>8</v>
      </c>
      <c r="L150" s="28" t="s">
        <v>8</v>
      </c>
      <c r="M150" s="28" t="s">
        <v>8</v>
      </c>
      <c r="N150" s="28" t="s">
        <v>8</v>
      </c>
      <c r="O150" s="28" t="s">
        <v>8</v>
      </c>
      <c r="P150" s="28" t="s">
        <v>8</v>
      </c>
      <c r="Q150" s="28" t="s">
        <v>8</v>
      </c>
      <c r="R150" s="28" t="s">
        <v>8</v>
      </c>
      <c r="S150" s="28" t="s">
        <v>8</v>
      </c>
      <c r="T150" s="28" t="s">
        <v>8</v>
      </c>
      <c r="U150" s="28" t="s">
        <v>8</v>
      </c>
      <c r="V150" s="28" t="s">
        <v>8</v>
      </c>
      <c r="W150" s="28" t="s">
        <v>8</v>
      </c>
      <c r="X150" s="28" t="s">
        <v>8</v>
      </c>
      <c r="Y150" s="28" t="s">
        <v>8</v>
      </c>
      <c r="Z150" s="28" t="s">
        <v>8</v>
      </c>
      <c r="AA150" s="28" t="s">
        <v>8</v>
      </c>
      <c r="AB150" s="28" t="s">
        <v>8</v>
      </c>
      <c r="AC150" s="28" t="s">
        <v>8</v>
      </c>
      <c r="AD150" s="28" t="s">
        <v>8</v>
      </c>
      <c r="AE150" s="28" t="s">
        <v>8</v>
      </c>
      <c r="AF150" s="28" t="s">
        <v>8</v>
      </c>
      <c r="AG150" s="28" t="s">
        <v>8</v>
      </c>
      <c r="AH150" s="28" t="s">
        <v>8</v>
      </c>
      <c r="AI150" s="28" t="s">
        <v>8</v>
      </c>
      <c r="AJ150" s="28" t="s">
        <v>8</v>
      </c>
      <c r="AK150" s="28" t="s">
        <v>8</v>
      </c>
      <c r="AL150" s="28" t="s">
        <v>8</v>
      </c>
      <c r="AM150" s="28" t="s">
        <v>8</v>
      </c>
      <c r="AN150" s="28" t="s">
        <v>8</v>
      </c>
      <c r="AO150" s="28" t="s">
        <v>8</v>
      </c>
      <c r="AP150" s="28" t="s">
        <v>8</v>
      </c>
      <c r="AQ150" s="28" t="s">
        <v>8</v>
      </c>
      <c r="AR150" s="28" t="s">
        <v>8</v>
      </c>
      <c r="AS150" s="28" t="s">
        <v>8</v>
      </c>
      <c r="AT150" s="28" t="s">
        <v>8</v>
      </c>
      <c r="AU150" s="28" t="s">
        <v>8</v>
      </c>
      <c r="AV150" s="28" t="s">
        <v>8</v>
      </c>
      <c r="AW150" s="28" t="s">
        <v>8</v>
      </c>
    </row>
    <row r="151" spans="2:49">
      <c r="B151" s="1" t="s">
        <v>433</v>
      </c>
      <c r="C151" s="1" t="s">
        <v>434</v>
      </c>
      <c r="D151" s="1" t="s">
        <v>21</v>
      </c>
      <c r="E151" s="1" t="s">
        <v>792</v>
      </c>
      <c r="F151" s="28" t="s">
        <v>8</v>
      </c>
      <c r="G151" s="28" t="s">
        <v>8</v>
      </c>
      <c r="H151" s="28" t="s">
        <v>8</v>
      </c>
      <c r="I151" s="28" t="s">
        <v>8</v>
      </c>
      <c r="J151" s="28" t="s">
        <v>8</v>
      </c>
      <c r="K151" s="28" t="s">
        <v>8</v>
      </c>
      <c r="L151" s="28" t="s">
        <v>8</v>
      </c>
      <c r="M151" s="28" t="s">
        <v>8</v>
      </c>
      <c r="N151" s="28" t="s">
        <v>8</v>
      </c>
      <c r="O151" s="28" t="s">
        <v>8</v>
      </c>
      <c r="P151" s="28" t="s">
        <v>8</v>
      </c>
      <c r="Q151" s="28" t="s">
        <v>8</v>
      </c>
      <c r="R151" s="28" t="s">
        <v>8</v>
      </c>
      <c r="S151" s="28" t="s">
        <v>8</v>
      </c>
      <c r="T151" s="28" t="s">
        <v>8</v>
      </c>
      <c r="U151" s="28" t="s">
        <v>8</v>
      </c>
      <c r="V151" s="28" t="s">
        <v>8</v>
      </c>
      <c r="W151" s="28" t="s">
        <v>8</v>
      </c>
      <c r="X151" s="28">
        <v>18</v>
      </c>
      <c r="Y151" s="28" t="s">
        <v>8</v>
      </c>
      <c r="Z151" s="28">
        <v>15</v>
      </c>
      <c r="AA151" s="28">
        <v>15</v>
      </c>
      <c r="AB151" s="28">
        <v>15</v>
      </c>
      <c r="AC151" s="28">
        <v>15</v>
      </c>
      <c r="AD151" s="28">
        <v>15</v>
      </c>
      <c r="AE151" s="28">
        <v>15</v>
      </c>
      <c r="AF151" s="28">
        <v>15</v>
      </c>
      <c r="AG151" s="28">
        <v>12</v>
      </c>
      <c r="AH151" s="28">
        <v>10</v>
      </c>
      <c r="AI151" s="28">
        <v>10</v>
      </c>
      <c r="AJ151" s="28">
        <v>10</v>
      </c>
      <c r="AK151" s="28">
        <v>10</v>
      </c>
      <c r="AL151" s="28">
        <v>10</v>
      </c>
      <c r="AM151" s="28">
        <v>10</v>
      </c>
      <c r="AN151" s="28">
        <v>10</v>
      </c>
      <c r="AO151" s="28">
        <v>10</v>
      </c>
      <c r="AP151" s="28">
        <v>10</v>
      </c>
      <c r="AQ151" s="28">
        <v>10</v>
      </c>
      <c r="AR151" s="28">
        <v>10</v>
      </c>
      <c r="AS151" s="28">
        <v>10</v>
      </c>
      <c r="AT151" s="28">
        <v>10</v>
      </c>
      <c r="AU151" s="28">
        <v>10</v>
      </c>
      <c r="AV151" s="28">
        <v>10</v>
      </c>
      <c r="AW151" s="28">
        <v>10</v>
      </c>
    </row>
    <row r="152" spans="2:49">
      <c r="B152" s="1" t="s">
        <v>435</v>
      </c>
      <c r="C152" s="1" t="s">
        <v>436</v>
      </c>
      <c r="D152" s="1" t="s">
        <v>9</v>
      </c>
      <c r="E152" s="1" t="s">
        <v>437</v>
      </c>
      <c r="F152" s="28" t="s">
        <v>8</v>
      </c>
      <c r="G152" s="28" t="s">
        <v>8</v>
      </c>
      <c r="H152" s="28" t="s">
        <v>8</v>
      </c>
      <c r="I152" s="28" t="s">
        <v>8</v>
      </c>
      <c r="J152" s="28" t="s">
        <v>8</v>
      </c>
      <c r="K152" s="28" t="s">
        <v>8</v>
      </c>
      <c r="L152" s="28" t="s">
        <v>8</v>
      </c>
      <c r="M152" s="28" t="s">
        <v>8</v>
      </c>
      <c r="N152" s="28" t="s">
        <v>8</v>
      </c>
      <c r="O152" s="28" t="s">
        <v>8</v>
      </c>
      <c r="P152" s="28" t="s">
        <v>8</v>
      </c>
      <c r="Q152" s="28" t="s">
        <v>8</v>
      </c>
      <c r="R152" s="28" t="s">
        <v>8</v>
      </c>
      <c r="S152" s="28" t="s">
        <v>8</v>
      </c>
      <c r="T152" s="28" t="s">
        <v>8</v>
      </c>
      <c r="U152" s="28" t="s">
        <v>8</v>
      </c>
      <c r="V152" s="28" t="s">
        <v>8</v>
      </c>
      <c r="W152" s="28" t="s">
        <v>8</v>
      </c>
      <c r="X152" s="28" t="s">
        <v>8</v>
      </c>
      <c r="Y152" s="28" t="s">
        <v>8</v>
      </c>
      <c r="Z152" s="28" t="s">
        <v>8</v>
      </c>
      <c r="AA152" s="28" t="s">
        <v>8</v>
      </c>
      <c r="AB152" s="28" t="s">
        <v>8</v>
      </c>
      <c r="AC152" s="28" t="s">
        <v>8</v>
      </c>
      <c r="AD152" s="28" t="s">
        <v>8</v>
      </c>
      <c r="AE152" s="28" t="s">
        <v>8</v>
      </c>
      <c r="AF152" s="28" t="s">
        <v>8</v>
      </c>
      <c r="AG152" s="28" t="s">
        <v>8</v>
      </c>
      <c r="AH152" s="28" t="s">
        <v>8</v>
      </c>
      <c r="AI152" s="28" t="s">
        <v>8</v>
      </c>
      <c r="AJ152" s="28" t="s">
        <v>8</v>
      </c>
      <c r="AK152" s="28">
        <v>35</v>
      </c>
      <c r="AL152" s="28">
        <v>35</v>
      </c>
      <c r="AM152" s="28">
        <v>30</v>
      </c>
      <c r="AN152" s="28">
        <v>30</v>
      </c>
      <c r="AO152" s="28">
        <v>30</v>
      </c>
      <c r="AP152" s="28">
        <v>30</v>
      </c>
      <c r="AQ152" s="28">
        <v>30</v>
      </c>
      <c r="AR152" s="28">
        <v>30</v>
      </c>
      <c r="AS152" s="28">
        <v>30</v>
      </c>
      <c r="AT152" s="28">
        <v>30</v>
      </c>
      <c r="AU152" s="28">
        <v>30</v>
      </c>
      <c r="AV152" s="28">
        <v>30</v>
      </c>
      <c r="AW152" s="28">
        <v>30</v>
      </c>
    </row>
    <row r="153" spans="2:49">
      <c r="B153" s="1" t="s">
        <v>438</v>
      </c>
      <c r="C153" s="1" t="s">
        <v>439</v>
      </c>
      <c r="D153" s="1" t="s">
        <v>21</v>
      </c>
      <c r="E153" s="1" t="s">
        <v>440</v>
      </c>
      <c r="F153" s="28">
        <v>32.5</v>
      </c>
      <c r="G153" s="28">
        <v>32.5</v>
      </c>
      <c r="H153" s="28">
        <v>32.5</v>
      </c>
      <c r="I153" s="28">
        <v>32.5</v>
      </c>
      <c r="J153" s="28">
        <v>32.5</v>
      </c>
      <c r="K153" s="28">
        <v>32.5</v>
      </c>
      <c r="L153" s="28">
        <v>32.5</v>
      </c>
      <c r="M153" s="28">
        <v>32.5</v>
      </c>
      <c r="N153" s="28">
        <v>32.5</v>
      </c>
      <c r="O153" s="28">
        <v>32.5</v>
      </c>
      <c r="P153" s="28">
        <v>35</v>
      </c>
      <c r="Q153" s="28">
        <v>35</v>
      </c>
      <c r="R153" s="28">
        <v>35</v>
      </c>
      <c r="S153" s="28">
        <v>35</v>
      </c>
      <c r="T153" s="28">
        <v>35</v>
      </c>
      <c r="U153" s="28">
        <v>35</v>
      </c>
      <c r="V153" s="28">
        <v>35</v>
      </c>
      <c r="W153" s="28">
        <v>35</v>
      </c>
      <c r="X153" s="28">
        <v>35</v>
      </c>
      <c r="Y153" s="28">
        <v>35</v>
      </c>
      <c r="Z153" s="28">
        <v>35</v>
      </c>
      <c r="AA153" s="28">
        <v>35</v>
      </c>
      <c r="AB153" s="28">
        <v>35</v>
      </c>
      <c r="AC153" s="28">
        <v>35</v>
      </c>
      <c r="AD153" s="28">
        <v>35</v>
      </c>
      <c r="AE153" s="28">
        <v>35</v>
      </c>
      <c r="AF153" s="28">
        <v>35</v>
      </c>
      <c r="AG153" s="28">
        <v>35</v>
      </c>
      <c r="AH153" s="28">
        <v>35</v>
      </c>
      <c r="AI153" s="28">
        <v>35</v>
      </c>
      <c r="AJ153" s="28">
        <v>35</v>
      </c>
      <c r="AK153" s="28">
        <v>35</v>
      </c>
      <c r="AL153" s="28">
        <v>35</v>
      </c>
      <c r="AM153" s="28">
        <v>35</v>
      </c>
      <c r="AN153" s="28">
        <v>35</v>
      </c>
      <c r="AO153" s="28">
        <v>35</v>
      </c>
      <c r="AP153" s="28">
        <v>35</v>
      </c>
      <c r="AQ153" s="28">
        <v>35</v>
      </c>
      <c r="AR153" s="28">
        <v>35</v>
      </c>
      <c r="AS153" s="28">
        <v>35</v>
      </c>
      <c r="AT153" s="28">
        <v>35</v>
      </c>
      <c r="AU153" s="28">
        <v>35</v>
      </c>
      <c r="AV153" s="28">
        <v>35</v>
      </c>
      <c r="AW153" s="28">
        <v>35</v>
      </c>
    </row>
    <row r="154" spans="2:49">
      <c r="B154" s="1" t="s">
        <v>441</v>
      </c>
      <c r="C154" s="1" t="s">
        <v>442</v>
      </c>
      <c r="D154" s="1" t="s">
        <v>11</v>
      </c>
      <c r="E154" s="1" t="s">
        <v>443</v>
      </c>
      <c r="F154" s="28" t="s">
        <v>8</v>
      </c>
      <c r="G154" s="28">
        <v>50</v>
      </c>
      <c r="H154" s="28" t="s">
        <v>8</v>
      </c>
      <c r="I154" s="28" t="s">
        <v>8</v>
      </c>
      <c r="J154" s="28" t="s">
        <v>8</v>
      </c>
      <c r="K154" s="28" t="s">
        <v>8</v>
      </c>
      <c r="L154" s="28" t="s">
        <v>8</v>
      </c>
      <c r="M154" s="28" t="s">
        <v>8</v>
      </c>
      <c r="N154" s="28" t="s">
        <v>8</v>
      </c>
      <c r="O154" s="28" t="s">
        <v>8</v>
      </c>
      <c r="P154" s="28" t="s">
        <v>8</v>
      </c>
      <c r="Q154" s="28" t="s">
        <v>8</v>
      </c>
      <c r="R154" s="28" t="s">
        <v>8</v>
      </c>
      <c r="S154" s="28" t="s">
        <v>8</v>
      </c>
      <c r="T154" s="28" t="s">
        <v>8</v>
      </c>
      <c r="U154" s="28" t="s">
        <v>8</v>
      </c>
      <c r="V154" s="28" t="s">
        <v>8</v>
      </c>
      <c r="W154" s="28" t="s">
        <v>8</v>
      </c>
      <c r="X154" s="28">
        <v>30</v>
      </c>
      <c r="Y154" s="28">
        <v>30</v>
      </c>
      <c r="Z154" s="28">
        <v>30</v>
      </c>
      <c r="AA154" s="28">
        <v>30</v>
      </c>
      <c r="AB154" s="28">
        <v>30</v>
      </c>
      <c r="AC154" s="28" t="s">
        <v>8</v>
      </c>
      <c r="AD154" s="28">
        <v>30</v>
      </c>
      <c r="AE154" s="28">
        <v>30</v>
      </c>
      <c r="AF154" s="28" t="s">
        <v>8</v>
      </c>
      <c r="AG154" s="28" t="s">
        <v>8</v>
      </c>
      <c r="AH154" s="28" t="s">
        <v>8</v>
      </c>
      <c r="AI154" s="28" t="s">
        <v>8</v>
      </c>
      <c r="AJ154" s="28" t="s">
        <v>8</v>
      </c>
      <c r="AK154" s="28" t="s">
        <v>8</v>
      </c>
      <c r="AL154" s="28" t="s">
        <v>8</v>
      </c>
      <c r="AM154" s="28">
        <v>25</v>
      </c>
      <c r="AN154" s="28">
        <v>25</v>
      </c>
      <c r="AO154" s="28">
        <v>25</v>
      </c>
      <c r="AP154" s="28">
        <v>25</v>
      </c>
      <c r="AQ154" s="28">
        <v>25</v>
      </c>
      <c r="AR154" s="28">
        <v>25</v>
      </c>
      <c r="AS154" s="28">
        <v>25</v>
      </c>
      <c r="AT154" s="28">
        <v>25</v>
      </c>
      <c r="AU154" s="28">
        <v>25</v>
      </c>
      <c r="AV154" s="28">
        <v>22</v>
      </c>
      <c r="AW154" s="28">
        <v>22</v>
      </c>
    </row>
    <row r="155" spans="2:49">
      <c r="B155" s="1" t="s">
        <v>444</v>
      </c>
      <c r="C155" s="1" t="s">
        <v>445</v>
      </c>
      <c r="D155" s="1" t="s">
        <v>21</v>
      </c>
      <c r="E155" s="1" t="s">
        <v>446</v>
      </c>
      <c r="F155" s="28" t="s">
        <v>8</v>
      </c>
      <c r="G155" s="28" t="s">
        <v>8</v>
      </c>
      <c r="H155" s="28" t="s">
        <v>8</v>
      </c>
      <c r="I155" s="28" t="s">
        <v>8</v>
      </c>
      <c r="J155" s="28" t="s">
        <v>8</v>
      </c>
      <c r="K155" s="28" t="s">
        <v>8</v>
      </c>
      <c r="L155" s="28" t="s">
        <v>8</v>
      </c>
      <c r="M155" s="28" t="s">
        <v>8</v>
      </c>
      <c r="N155" s="28" t="s">
        <v>8</v>
      </c>
      <c r="O155" s="28" t="s">
        <v>8</v>
      </c>
      <c r="P155" s="28" t="s">
        <v>8</v>
      </c>
      <c r="Q155" s="28" t="s">
        <v>8</v>
      </c>
      <c r="R155" s="28" t="s">
        <v>8</v>
      </c>
      <c r="S155" s="28" t="s">
        <v>8</v>
      </c>
      <c r="T155" s="28" t="s">
        <v>8</v>
      </c>
      <c r="U155" s="28" t="s">
        <v>8</v>
      </c>
      <c r="V155" s="28" t="s">
        <v>8</v>
      </c>
      <c r="W155" s="28" t="s">
        <v>8</v>
      </c>
      <c r="X155" s="28" t="s">
        <v>8</v>
      </c>
      <c r="Y155" s="28" t="s">
        <v>8</v>
      </c>
      <c r="Z155" s="28">
        <v>20</v>
      </c>
      <c r="AA155" s="28">
        <v>20</v>
      </c>
      <c r="AB155" s="28">
        <v>20</v>
      </c>
      <c r="AC155" s="28">
        <v>20</v>
      </c>
      <c r="AD155" s="28">
        <v>9</v>
      </c>
      <c r="AE155" s="28">
        <v>9</v>
      </c>
      <c r="AF155" s="28">
        <v>9</v>
      </c>
      <c r="AG155" s="28">
        <v>9</v>
      </c>
      <c r="AH155" s="28">
        <v>9</v>
      </c>
      <c r="AI155" s="28">
        <v>9</v>
      </c>
      <c r="AJ155" s="28">
        <v>9</v>
      </c>
      <c r="AK155" s="28">
        <v>9</v>
      </c>
      <c r="AL155" s="28">
        <v>9</v>
      </c>
      <c r="AM155" s="28">
        <v>9</v>
      </c>
      <c r="AN155" s="28">
        <v>9</v>
      </c>
      <c r="AO155" s="28">
        <v>9</v>
      </c>
      <c r="AP155" s="28">
        <v>9</v>
      </c>
      <c r="AQ155" s="28">
        <v>9</v>
      </c>
      <c r="AR155" s="28">
        <v>9</v>
      </c>
      <c r="AS155" s="28">
        <v>9</v>
      </c>
      <c r="AT155" s="28">
        <v>9</v>
      </c>
      <c r="AU155" s="28">
        <v>9</v>
      </c>
      <c r="AV155" s="28">
        <v>15</v>
      </c>
      <c r="AW155" s="28">
        <v>15</v>
      </c>
    </row>
    <row r="156" spans="2:49">
      <c r="B156" s="1" t="s">
        <v>447</v>
      </c>
      <c r="C156" s="1" t="s">
        <v>448</v>
      </c>
      <c r="D156" s="1" t="s">
        <v>11</v>
      </c>
      <c r="E156" s="1" t="s">
        <v>449</v>
      </c>
      <c r="F156" s="28" t="s">
        <v>8</v>
      </c>
      <c r="G156" s="28" t="s">
        <v>8</v>
      </c>
      <c r="H156" s="28" t="s">
        <v>8</v>
      </c>
      <c r="I156" s="28" t="s">
        <v>8</v>
      </c>
      <c r="J156" s="28" t="s">
        <v>8</v>
      </c>
      <c r="K156" s="28" t="s">
        <v>8</v>
      </c>
      <c r="L156" s="28" t="s">
        <v>8</v>
      </c>
      <c r="M156" s="28" t="s">
        <v>8</v>
      </c>
      <c r="N156" s="28" t="s">
        <v>8</v>
      </c>
      <c r="O156" s="28" t="s">
        <v>8</v>
      </c>
      <c r="P156" s="28" t="s">
        <v>8</v>
      </c>
      <c r="Q156" s="28" t="s">
        <v>8</v>
      </c>
      <c r="R156" s="28" t="s">
        <v>8</v>
      </c>
      <c r="S156" s="28" t="s">
        <v>8</v>
      </c>
      <c r="T156" s="28" t="s">
        <v>8</v>
      </c>
      <c r="U156" s="28" t="s">
        <v>8</v>
      </c>
      <c r="V156" s="28" t="s">
        <v>8</v>
      </c>
      <c r="W156" s="28" t="s">
        <v>8</v>
      </c>
      <c r="X156" s="28" t="s">
        <v>8</v>
      </c>
      <c r="Y156" s="28" t="s">
        <v>8</v>
      </c>
      <c r="Z156" s="28">
        <v>30</v>
      </c>
      <c r="AA156" s="28">
        <v>30</v>
      </c>
      <c r="AB156" s="28">
        <v>30</v>
      </c>
      <c r="AC156" s="28">
        <v>30</v>
      </c>
      <c r="AD156" s="28">
        <v>30</v>
      </c>
      <c r="AE156" s="28">
        <v>30</v>
      </c>
      <c r="AF156" s="28">
        <v>30</v>
      </c>
      <c r="AG156" s="28">
        <v>25</v>
      </c>
      <c r="AH156" s="28">
        <v>25</v>
      </c>
      <c r="AI156" s="28">
        <v>25</v>
      </c>
      <c r="AJ156" s="28">
        <v>25</v>
      </c>
      <c r="AK156" s="28">
        <v>25</v>
      </c>
      <c r="AL156" s="28">
        <v>25</v>
      </c>
      <c r="AM156" s="28">
        <v>25</v>
      </c>
      <c r="AN156" s="28">
        <v>25</v>
      </c>
      <c r="AO156" s="28">
        <v>25</v>
      </c>
      <c r="AP156" s="28">
        <v>25</v>
      </c>
      <c r="AQ156" s="28">
        <v>25</v>
      </c>
      <c r="AR156" s="28">
        <v>25</v>
      </c>
      <c r="AS156" s="28">
        <v>25</v>
      </c>
      <c r="AT156" s="28">
        <v>25</v>
      </c>
      <c r="AU156" s="28">
        <v>25</v>
      </c>
      <c r="AV156" s="28">
        <v>25</v>
      </c>
      <c r="AW156" s="28">
        <v>25</v>
      </c>
    </row>
    <row r="157" spans="2:49">
      <c r="B157" s="1" t="s">
        <v>450</v>
      </c>
      <c r="C157" s="1" t="s">
        <v>451</v>
      </c>
      <c r="D157" s="1" t="s">
        <v>43</v>
      </c>
      <c r="E157" s="1" t="s">
        <v>452</v>
      </c>
      <c r="F157" s="28" t="s">
        <v>8</v>
      </c>
      <c r="G157" s="28" t="s">
        <v>8</v>
      </c>
      <c r="H157" s="28" t="s">
        <v>8</v>
      </c>
      <c r="I157" s="28" t="s">
        <v>8</v>
      </c>
      <c r="J157" s="28" t="s">
        <v>8</v>
      </c>
      <c r="K157" s="28" t="s">
        <v>8</v>
      </c>
      <c r="L157" s="28" t="s">
        <v>8</v>
      </c>
      <c r="M157" s="28" t="s">
        <v>8</v>
      </c>
      <c r="N157" s="28" t="s">
        <v>8</v>
      </c>
      <c r="O157" s="28" t="s">
        <v>8</v>
      </c>
      <c r="P157" s="28" t="s">
        <v>8</v>
      </c>
      <c r="Q157" s="28" t="s">
        <v>8</v>
      </c>
      <c r="R157" s="28" t="s">
        <v>8</v>
      </c>
      <c r="S157" s="28" t="s">
        <v>8</v>
      </c>
      <c r="T157" s="28" t="s">
        <v>8</v>
      </c>
      <c r="U157" s="28" t="s">
        <v>8</v>
      </c>
      <c r="V157" s="28" t="s">
        <v>8</v>
      </c>
      <c r="W157" s="28" t="s">
        <v>8</v>
      </c>
      <c r="X157" s="28" t="s">
        <v>8</v>
      </c>
      <c r="Y157" s="28" t="s">
        <v>8</v>
      </c>
      <c r="Z157" s="28" t="s">
        <v>8</v>
      </c>
      <c r="AA157" s="28" t="s">
        <v>8</v>
      </c>
      <c r="AB157" s="28" t="s">
        <v>8</v>
      </c>
      <c r="AC157" s="28" t="s">
        <v>8</v>
      </c>
      <c r="AD157" s="28">
        <v>35</v>
      </c>
      <c r="AE157" s="28">
        <v>35</v>
      </c>
      <c r="AF157" s="28">
        <v>35</v>
      </c>
      <c r="AG157" s="28">
        <v>35</v>
      </c>
      <c r="AH157" s="28">
        <v>35</v>
      </c>
      <c r="AI157" s="28">
        <v>35</v>
      </c>
      <c r="AJ157" s="28">
        <v>35</v>
      </c>
      <c r="AK157" s="28">
        <v>35</v>
      </c>
      <c r="AL157" s="28">
        <v>35</v>
      </c>
      <c r="AM157" s="28">
        <v>35</v>
      </c>
      <c r="AN157" s="28">
        <v>35</v>
      </c>
      <c r="AO157" s="28">
        <v>35</v>
      </c>
      <c r="AP157" s="28">
        <v>35</v>
      </c>
      <c r="AQ157" s="28">
        <v>35</v>
      </c>
      <c r="AR157" s="28">
        <v>21</v>
      </c>
      <c r="AS157" s="28">
        <v>21</v>
      </c>
      <c r="AT157" s="28">
        <v>21</v>
      </c>
      <c r="AU157" s="28">
        <v>21</v>
      </c>
      <c r="AV157" s="28">
        <v>21</v>
      </c>
      <c r="AW157" s="28">
        <v>21</v>
      </c>
    </row>
    <row r="158" spans="2:49">
      <c r="B158" s="1" t="s">
        <v>453</v>
      </c>
      <c r="C158" s="1" t="s">
        <v>454</v>
      </c>
      <c r="D158" s="1" t="s">
        <v>9</v>
      </c>
      <c r="E158" s="1" t="s">
        <v>455</v>
      </c>
      <c r="F158" s="28" t="s">
        <v>8</v>
      </c>
      <c r="G158" s="28" t="s">
        <v>8</v>
      </c>
      <c r="H158" s="28" t="s">
        <v>8</v>
      </c>
      <c r="I158" s="28" t="s">
        <v>8</v>
      </c>
      <c r="J158" s="28" t="s">
        <v>8</v>
      </c>
      <c r="K158" s="28" t="s">
        <v>8</v>
      </c>
      <c r="L158" s="28" t="s">
        <v>8</v>
      </c>
      <c r="M158" s="28" t="s">
        <v>8</v>
      </c>
      <c r="N158" s="28" t="s">
        <v>8</v>
      </c>
      <c r="O158" s="28" t="s">
        <v>8</v>
      </c>
      <c r="P158" s="28" t="s">
        <v>8</v>
      </c>
      <c r="Q158" s="28" t="s">
        <v>8</v>
      </c>
      <c r="R158" s="28" t="s">
        <v>8</v>
      </c>
      <c r="S158" s="28" t="s">
        <v>8</v>
      </c>
      <c r="T158" s="28" t="s">
        <v>8</v>
      </c>
      <c r="U158" s="28">
        <v>45</v>
      </c>
      <c r="V158" s="28">
        <v>45</v>
      </c>
      <c r="W158" s="28">
        <v>45</v>
      </c>
      <c r="X158" s="28">
        <v>45</v>
      </c>
      <c r="Y158" s="28">
        <v>35</v>
      </c>
      <c r="Z158" s="28">
        <v>35</v>
      </c>
      <c r="AA158" s="28">
        <v>35</v>
      </c>
      <c r="AB158" s="28">
        <v>35</v>
      </c>
      <c r="AC158" s="28">
        <v>32</v>
      </c>
      <c r="AD158" s="28">
        <v>32</v>
      </c>
      <c r="AE158" s="28">
        <v>32</v>
      </c>
      <c r="AF158" s="28">
        <v>32</v>
      </c>
      <c r="AG158" s="28">
        <v>32</v>
      </c>
      <c r="AH158" s="28">
        <v>32</v>
      </c>
      <c r="AI158" s="28">
        <v>32</v>
      </c>
      <c r="AJ158" s="28">
        <v>32</v>
      </c>
      <c r="AK158" s="28">
        <v>32</v>
      </c>
      <c r="AL158" s="28">
        <v>32</v>
      </c>
      <c r="AM158" s="28">
        <v>32</v>
      </c>
      <c r="AN158" s="28">
        <v>32</v>
      </c>
      <c r="AO158" s="28">
        <v>32</v>
      </c>
      <c r="AP158" s="28">
        <v>32</v>
      </c>
      <c r="AQ158" s="28">
        <v>32</v>
      </c>
      <c r="AR158" s="28">
        <v>32</v>
      </c>
      <c r="AS158" s="28">
        <v>32</v>
      </c>
      <c r="AT158" s="28">
        <v>32</v>
      </c>
      <c r="AU158" s="28">
        <v>32</v>
      </c>
      <c r="AV158" s="28">
        <v>32</v>
      </c>
      <c r="AW158" s="28">
        <v>32</v>
      </c>
    </row>
    <row r="159" spans="2:49">
      <c r="B159" s="1" t="s">
        <v>456</v>
      </c>
      <c r="C159" s="1" t="s">
        <v>457</v>
      </c>
      <c r="D159" s="1" t="s">
        <v>9</v>
      </c>
      <c r="E159" s="1" t="s">
        <v>458</v>
      </c>
      <c r="F159" s="28" t="s">
        <v>8</v>
      </c>
      <c r="G159" s="28" t="s">
        <v>8</v>
      </c>
      <c r="H159" s="28" t="s">
        <v>8</v>
      </c>
      <c r="I159" s="28" t="s">
        <v>8</v>
      </c>
      <c r="J159" s="28" t="s">
        <v>8</v>
      </c>
      <c r="K159" s="28" t="s">
        <v>8</v>
      </c>
      <c r="L159" s="28" t="s">
        <v>8</v>
      </c>
      <c r="M159" s="28" t="s">
        <v>8</v>
      </c>
      <c r="N159" s="28" t="s">
        <v>8</v>
      </c>
      <c r="O159" s="28" t="s">
        <v>8</v>
      </c>
      <c r="P159" s="28" t="s">
        <v>8</v>
      </c>
      <c r="Q159" s="28" t="s">
        <v>8</v>
      </c>
      <c r="R159" s="28" t="s">
        <v>8</v>
      </c>
      <c r="S159" s="28" t="s">
        <v>8</v>
      </c>
      <c r="T159" s="28" t="s">
        <v>8</v>
      </c>
      <c r="U159" s="28" t="s">
        <v>8</v>
      </c>
      <c r="V159" s="28" t="s">
        <v>8</v>
      </c>
      <c r="W159" s="28" t="s">
        <v>8</v>
      </c>
      <c r="X159" s="28" t="s">
        <v>8</v>
      </c>
      <c r="Y159" s="28" t="s">
        <v>8</v>
      </c>
      <c r="Z159" s="28">
        <v>0</v>
      </c>
      <c r="AA159" s="28">
        <v>0</v>
      </c>
      <c r="AB159" s="28">
        <v>0</v>
      </c>
      <c r="AC159" s="28">
        <v>0</v>
      </c>
      <c r="AD159" s="28">
        <v>20</v>
      </c>
      <c r="AE159" s="28">
        <v>20</v>
      </c>
      <c r="AF159" s="28">
        <v>25</v>
      </c>
      <c r="AG159" s="28">
        <v>25</v>
      </c>
      <c r="AH159" s="28">
        <v>25</v>
      </c>
      <c r="AI159" s="28">
        <v>25</v>
      </c>
      <c r="AJ159" s="28">
        <v>25</v>
      </c>
      <c r="AK159" s="28">
        <v>25</v>
      </c>
      <c r="AL159" s="28">
        <v>25</v>
      </c>
      <c r="AM159" s="28">
        <v>25</v>
      </c>
      <c r="AN159" s="28">
        <v>25</v>
      </c>
      <c r="AO159" s="28">
        <v>25</v>
      </c>
      <c r="AP159" s="28">
        <v>25</v>
      </c>
      <c r="AQ159" s="28">
        <v>25</v>
      </c>
      <c r="AR159" s="28">
        <v>25</v>
      </c>
      <c r="AS159" s="28">
        <v>25</v>
      </c>
      <c r="AT159" s="28">
        <v>25</v>
      </c>
      <c r="AU159" s="28">
        <v>25</v>
      </c>
      <c r="AV159" s="28">
        <v>25</v>
      </c>
      <c r="AW159" s="28">
        <v>25</v>
      </c>
    </row>
    <row r="160" spans="2:49">
      <c r="B160" s="1" t="s">
        <v>459</v>
      </c>
      <c r="C160" s="1" t="s">
        <v>460</v>
      </c>
      <c r="D160" s="1" t="s">
        <v>6</v>
      </c>
      <c r="E160" s="1" t="s">
        <v>461</v>
      </c>
      <c r="F160" s="28" t="s">
        <v>8</v>
      </c>
      <c r="G160" s="28" t="s">
        <v>8</v>
      </c>
      <c r="H160" s="28" t="s">
        <v>8</v>
      </c>
      <c r="I160" s="28" t="s">
        <v>8</v>
      </c>
      <c r="J160" s="28" t="s">
        <v>8</v>
      </c>
      <c r="K160" s="28" t="s">
        <v>8</v>
      </c>
      <c r="L160" s="28" t="s">
        <v>8</v>
      </c>
      <c r="M160" s="28" t="s">
        <v>8</v>
      </c>
      <c r="N160" s="28" t="s">
        <v>8</v>
      </c>
      <c r="O160" s="28" t="s">
        <v>8</v>
      </c>
      <c r="P160" s="28" t="s">
        <v>8</v>
      </c>
      <c r="Q160" s="28" t="s">
        <v>8</v>
      </c>
      <c r="R160" s="28" t="s">
        <v>8</v>
      </c>
      <c r="S160" s="28" t="s">
        <v>8</v>
      </c>
      <c r="T160" s="28" t="s">
        <v>8</v>
      </c>
      <c r="U160" s="28" t="s">
        <v>8</v>
      </c>
      <c r="V160" s="28" t="s">
        <v>8</v>
      </c>
      <c r="W160" s="28" t="s">
        <v>8</v>
      </c>
      <c r="X160" s="28" t="s">
        <v>8</v>
      </c>
      <c r="Y160" s="28" t="s">
        <v>8</v>
      </c>
      <c r="Z160" s="28">
        <v>30</v>
      </c>
      <c r="AA160" s="28">
        <v>30</v>
      </c>
      <c r="AB160" s="28">
        <v>30</v>
      </c>
      <c r="AC160" s="28">
        <v>30</v>
      </c>
      <c r="AD160" s="28">
        <v>30</v>
      </c>
      <c r="AE160" s="28">
        <v>30</v>
      </c>
      <c r="AF160" s="28">
        <v>30</v>
      </c>
      <c r="AG160" s="28">
        <v>30</v>
      </c>
      <c r="AH160" s="28">
        <v>30</v>
      </c>
      <c r="AI160" s="28">
        <v>30</v>
      </c>
      <c r="AJ160" s="28">
        <v>30</v>
      </c>
      <c r="AK160" s="28">
        <v>30</v>
      </c>
      <c r="AL160" s="28">
        <v>30</v>
      </c>
      <c r="AM160" s="28">
        <v>30</v>
      </c>
      <c r="AN160" s="28">
        <v>30</v>
      </c>
      <c r="AO160" s="28">
        <v>30</v>
      </c>
      <c r="AP160" s="28">
        <v>30</v>
      </c>
      <c r="AQ160" s="28">
        <v>30</v>
      </c>
      <c r="AR160" s="28">
        <v>30</v>
      </c>
      <c r="AS160" s="28">
        <v>30</v>
      </c>
      <c r="AT160" s="28">
        <v>30</v>
      </c>
      <c r="AU160" s="28">
        <v>30</v>
      </c>
      <c r="AV160" s="28">
        <v>30</v>
      </c>
      <c r="AW160" s="28">
        <v>30</v>
      </c>
    </row>
    <row r="161" spans="2:49">
      <c r="B161" s="1" t="s">
        <v>462</v>
      </c>
      <c r="C161" s="1" t="s">
        <v>463</v>
      </c>
      <c r="D161" s="1" t="s">
        <v>6</v>
      </c>
      <c r="E161" s="1" t="s">
        <v>464</v>
      </c>
      <c r="F161" s="28" t="s">
        <v>8</v>
      </c>
      <c r="G161" s="28" t="s">
        <v>8</v>
      </c>
      <c r="H161" s="28" t="s">
        <v>8</v>
      </c>
      <c r="I161" s="28" t="s">
        <v>8</v>
      </c>
      <c r="J161" s="28" t="s">
        <v>8</v>
      </c>
      <c r="K161" s="28" t="s">
        <v>8</v>
      </c>
      <c r="L161" s="28" t="s">
        <v>8</v>
      </c>
      <c r="M161" s="28" t="s">
        <v>8</v>
      </c>
      <c r="N161" s="28" t="s">
        <v>8</v>
      </c>
      <c r="O161" s="28" t="s">
        <v>8</v>
      </c>
      <c r="P161" s="28" t="s">
        <v>8</v>
      </c>
      <c r="Q161" s="28" t="s">
        <v>8</v>
      </c>
      <c r="R161" s="28" t="s">
        <v>8</v>
      </c>
      <c r="S161" s="28" t="s">
        <v>8</v>
      </c>
      <c r="T161" s="28" t="s">
        <v>8</v>
      </c>
      <c r="U161" s="28" t="s">
        <v>8</v>
      </c>
      <c r="V161" s="28" t="s">
        <v>8</v>
      </c>
      <c r="W161" s="28" t="s">
        <v>8</v>
      </c>
      <c r="X161" s="28" t="s">
        <v>8</v>
      </c>
      <c r="Y161" s="28" t="s">
        <v>8</v>
      </c>
      <c r="Z161" s="28" t="s">
        <v>8</v>
      </c>
      <c r="AA161" s="28" t="s">
        <v>8</v>
      </c>
      <c r="AB161" s="28" t="s">
        <v>8</v>
      </c>
      <c r="AC161" s="28" t="s">
        <v>8</v>
      </c>
      <c r="AD161" s="28" t="s">
        <v>8</v>
      </c>
      <c r="AE161" s="28" t="s">
        <v>8</v>
      </c>
      <c r="AF161" s="28" t="s">
        <v>8</v>
      </c>
      <c r="AG161" s="28" t="s">
        <v>8</v>
      </c>
      <c r="AH161" s="28" t="s">
        <v>8</v>
      </c>
      <c r="AI161" s="28" t="s">
        <v>8</v>
      </c>
      <c r="AJ161" s="28" t="s">
        <v>8</v>
      </c>
      <c r="AK161" s="28" t="s">
        <v>8</v>
      </c>
      <c r="AL161" s="28" t="s">
        <v>8</v>
      </c>
      <c r="AM161" s="28" t="s">
        <v>8</v>
      </c>
      <c r="AN161" s="28" t="s">
        <v>8</v>
      </c>
      <c r="AO161" s="28" t="s">
        <v>8</v>
      </c>
      <c r="AP161" s="28" t="s">
        <v>8</v>
      </c>
      <c r="AQ161" s="28" t="s">
        <v>8</v>
      </c>
      <c r="AR161" s="28" t="s">
        <v>8</v>
      </c>
      <c r="AS161" s="28" t="s">
        <v>8</v>
      </c>
      <c r="AT161" s="28" t="s">
        <v>8</v>
      </c>
      <c r="AU161" s="28" t="s">
        <v>8</v>
      </c>
      <c r="AV161" s="28" t="s">
        <v>8</v>
      </c>
      <c r="AW161" s="28" t="s">
        <v>8</v>
      </c>
    </row>
    <row r="162" spans="2:49">
      <c r="B162" s="1" t="s">
        <v>465</v>
      </c>
      <c r="C162" s="1" t="s">
        <v>466</v>
      </c>
      <c r="D162" s="1" t="s">
        <v>9</v>
      </c>
      <c r="E162" s="1" t="s">
        <v>467</v>
      </c>
      <c r="F162" s="28">
        <v>50</v>
      </c>
      <c r="G162" s="28" t="s">
        <v>8</v>
      </c>
      <c r="H162" s="28" t="s">
        <v>8</v>
      </c>
      <c r="I162" s="28" t="s">
        <v>8</v>
      </c>
      <c r="J162" s="28" t="s">
        <v>8</v>
      </c>
      <c r="K162" s="28" t="s">
        <v>8</v>
      </c>
      <c r="L162" s="28" t="s">
        <v>8</v>
      </c>
      <c r="M162" s="28" t="s">
        <v>8</v>
      </c>
      <c r="N162" s="28">
        <v>35</v>
      </c>
      <c r="O162" s="28">
        <v>35</v>
      </c>
      <c r="P162" s="28">
        <v>35</v>
      </c>
      <c r="Q162" s="28">
        <v>35</v>
      </c>
      <c r="R162" s="28">
        <v>35</v>
      </c>
      <c r="S162" s="28">
        <v>35</v>
      </c>
      <c r="T162" s="28">
        <v>35</v>
      </c>
      <c r="U162" s="28">
        <v>35</v>
      </c>
      <c r="V162" s="28">
        <v>35</v>
      </c>
      <c r="W162" s="28">
        <v>35</v>
      </c>
      <c r="X162" s="28">
        <v>35</v>
      </c>
      <c r="Y162" s="28">
        <v>35</v>
      </c>
      <c r="Z162" s="28">
        <v>35</v>
      </c>
      <c r="AA162" s="28">
        <v>25</v>
      </c>
      <c r="AB162" s="28">
        <v>25</v>
      </c>
      <c r="AC162" s="28">
        <v>25</v>
      </c>
      <c r="AD162" s="28">
        <v>25</v>
      </c>
      <c r="AE162" s="28">
        <v>25</v>
      </c>
      <c r="AF162" s="28">
        <v>25</v>
      </c>
      <c r="AG162" s="28">
        <v>22.5</v>
      </c>
      <c r="AH162" s="28">
        <v>15</v>
      </c>
      <c r="AI162" s="28">
        <v>15</v>
      </c>
      <c r="AJ162" s="28">
        <v>15</v>
      </c>
      <c r="AK162" s="28">
        <v>15</v>
      </c>
      <c r="AL162" s="28">
        <v>15</v>
      </c>
      <c r="AM162" s="28">
        <v>15</v>
      </c>
      <c r="AN162" s="28">
        <v>15</v>
      </c>
      <c r="AO162" s="28">
        <v>15</v>
      </c>
      <c r="AP162" s="28">
        <v>15</v>
      </c>
      <c r="AQ162" s="28">
        <v>15</v>
      </c>
      <c r="AR162" s="28">
        <v>15</v>
      </c>
      <c r="AS162" s="28">
        <v>15</v>
      </c>
      <c r="AT162" s="28">
        <v>15</v>
      </c>
      <c r="AU162" s="28">
        <v>15</v>
      </c>
      <c r="AV162" s="28">
        <v>15</v>
      </c>
      <c r="AW162" s="28">
        <v>15</v>
      </c>
    </row>
    <row r="163" spans="2:49">
      <c r="B163" s="1" t="s">
        <v>468</v>
      </c>
      <c r="C163" s="1" t="s">
        <v>469</v>
      </c>
      <c r="D163" s="1" t="s">
        <v>9</v>
      </c>
      <c r="E163" s="1" t="s">
        <v>470</v>
      </c>
      <c r="F163" s="28">
        <v>45</v>
      </c>
      <c r="G163" s="28">
        <v>45</v>
      </c>
      <c r="H163" s="28">
        <v>45</v>
      </c>
      <c r="I163" s="28">
        <v>50</v>
      </c>
      <c r="J163" s="28">
        <v>50</v>
      </c>
      <c r="K163" s="28">
        <v>50</v>
      </c>
      <c r="L163" s="28">
        <v>50</v>
      </c>
      <c r="M163" s="28">
        <v>50</v>
      </c>
      <c r="N163" s="28">
        <v>50</v>
      </c>
      <c r="O163" s="28">
        <v>50</v>
      </c>
      <c r="P163" s="28">
        <v>50</v>
      </c>
      <c r="Q163" s="28">
        <v>45</v>
      </c>
      <c r="R163" s="28">
        <v>40</v>
      </c>
      <c r="S163" s="28">
        <v>35</v>
      </c>
      <c r="T163" s="28">
        <v>35</v>
      </c>
      <c r="U163" s="28">
        <v>35</v>
      </c>
      <c r="V163" s="28">
        <v>38</v>
      </c>
      <c r="W163" s="28">
        <v>38</v>
      </c>
      <c r="X163" s="28">
        <v>38</v>
      </c>
      <c r="Y163" s="28">
        <v>38</v>
      </c>
      <c r="Z163" s="28">
        <v>38</v>
      </c>
      <c r="AA163" s="28">
        <v>38</v>
      </c>
      <c r="AB163" s="28">
        <v>35</v>
      </c>
      <c r="AC163" s="28" t="s">
        <v>8</v>
      </c>
      <c r="AD163" s="28" t="s">
        <v>8</v>
      </c>
      <c r="AE163" s="28">
        <v>30</v>
      </c>
      <c r="AF163" s="28">
        <v>30</v>
      </c>
      <c r="AG163" s="28">
        <v>30</v>
      </c>
      <c r="AH163" s="28">
        <v>30</v>
      </c>
      <c r="AI163" s="28">
        <v>30</v>
      </c>
      <c r="AJ163" s="28">
        <v>30</v>
      </c>
      <c r="AK163" s="28">
        <v>30</v>
      </c>
      <c r="AL163" s="28">
        <v>30</v>
      </c>
      <c r="AM163" s="28">
        <v>30</v>
      </c>
      <c r="AN163" s="28">
        <v>30</v>
      </c>
      <c r="AO163" s="28">
        <v>30</v>
      </c>
      <c r="AP163" s="28">
        <v>30</v>
      </c>
      <c r="AQ163" s="28">
        <v>30</v>
      </c>
      <c r="AR163" s="28">
        <v>30</v>
      </c>
      <c r="AS163" s="28">
        <v>30</v>
      </c>
      <c r="AT163" s="28">
        <v>30</v>
      </c>
      <c r="AU163" s="28">
        <v>30</v>
      </c>
      <c r="AV163" s="28">
        <v>30</v>
      </c>
      <c r="AW163" s="28">
        <v>30</v>
      </c>
    </row>
    <row r="164" spans="2:49">
      <c r="B164" s="1" t="s">
        <v>471</v>
      </c>
      <c r="C164" s="1" t="s">
        <v>472</v>
      </c>
      <c r="D164" s="1" t="s">
        <v>11</v>
      </c>
      <c r="E164" s="1" t="s">
        <v>473</v>
      </c>
      <c r="F164" s="28">
        <v>40</v>
      </c>
      <c r="G164" s="28">
        <v>40</v>
      </c>
      <c r="H164" s="28">
        <v>40</v>
      </c>
      <c r="I164" s="28">
        <v>40</v>
      </c>
      <c r="J164" s="28">
        <v>40</v>
      </c>
      <c r="K164" s="28">
        <v>40</v>
      </c>
      <c r="L164" s="28">
        <v>40</v>
      </c>
      <c r="M164" s="28">
        <v>40</v>
      </c>
      <c r="N164" s="28">
        <v>40</v>
      </c>
      <c r="O164" s="28">
        <v>35</v>
      </c>
      <c r="P164" s="28">
        <v>35</v>
      </c>
      <c r="Q164" s="28">
        <v>35</v>
      </c>
      <c r="R164" s="28">
        <v>35</v>
      </c>
      <c r="S164" s="28">
        <v>34</v>
      </c>
      <c r="T164" s="28">
        <v>32</v>
      </c>
      <c r="U164" s="28">
        <v>30</v>
      </c>
      <c r="V164" s="28">
        <v>30</v>
      </c>
      <c r="W164" s="28">
        <v>30</v>
      </c>
      <c r="X164" s="28">
        <v>28</v>
      </c>
      <c r="Y164" s="28">
        <v>28</v>
      </c>
      <c r="Z164" s="28">
        <v>28</v>
      </c>
      <c r="AA164" s="28">
        <v>28</v>
      </c>
      <c r="AB164" s="28">
        <v>28</v>
      </c>
      <c r="AC164" s="28">
        <v>28</v>
      </c>
      <c r="AD164" s="28">
        <v>28</v>
      </c>
      <c r="AE164" s="28">
        <v>28</v>
      </c>
      <c r="AF164" s="28">
        <v>28</v>
      </c>
      <c r="AG164" s="28">
        <v>27</v>
      </c>
      <c r="AH164" s="28">
        <v>26</v>
      </c>
      <c r="AI164" s="28">
        <v>25</v>
      </c>
      <c r="AJ164" s="28">
        <v>25</v>
      </c>
      <c r="AK164" s="28">
        <v>25</v>
      </c>
      <c r="AL164" s="28">
        <v>25</v>
      </c>
      <c r="AM164" s="28">
        <v>25</v>
      </c>
      <c r="AN164" s="28">
        <v>25</v>
      </c>
      <c r="AO164" s="28">
        <v>25</v>
      </c>
      <c r="AP164" s="28">
        <v>24</v>
      </c>
      <c r="AQ164" s="28">
        <v>24</v>
      </c>
      <c r="AR164" s="28">
        <v>24</v>
      </c>
      <c r="AS164" s="28">
        <v>24</v>
      </c>
      <c r="AT164" s="28">
        <v>24</v>
      </c>
      <c r="AU164" s="28">
        <v>24</v>
      </c>
      <c r="AV164" s="28">
        <v>24</v>
      </c>
      <c r="AW164" s="28">
        <v>24</v>
      </c>
    </row>
    <row r="165" spans="2:49">
      <c r="B165" s="1" t="s">
        <v>474</v>
      </c>
      <c r="C165" s="1" t="s">
        <v>475</v>
      </c>
      <c r="D165" s="1" t="s">
        <v>9</v>
      </c>
      <c r="E165" s="1" t="s">
        <v>476</v>
      </c>
      <c r="F165" s="28" t="s">
        <v>8</v>
      </c>
      <c r="G165" s="28" t="s">
        <v>8</v>
      </c>
      <c r="H165" s="28" t="s">
        <v>8</v>
      </c>
      <c r="I165" s="28" t="s">
        <v>8</v>
      </c>
      <c r="J165" s="28" t="s">
        <v>8</v>
      </c>
      <c r="K165" s="28" t="s">
        <v>8</v>
      </c>
      <c r="L165" s="28" t="s">
        <v>8</v>
      </c>
      <c r="M165" s="28" t="s">
        <v>8</v>
      </c>
      <c r="N165" s="28" t="s">
        <v>8</v>
      </c>
      <c r="O165" s="28" t="s">
        <v>8</v>
      </c>
      <c r="P165" s="28" t="s">
        <v>8</v>
      </c>
      <c r="Q165" s="28" t="s">
        <v>8</v>
      </c>
      <c r="R165" s="28" t="s">
        <v>8</v>
      </c>
      <c r="S165" s="28" t="s">
        <v>8</v>
      </c>
      <c r="T165" s="28" t="s">
        <v>8</v>
      </c>
      <c r="U165" s="28" t="s">
        <v>8</v>
      </c>
      <c r="V165" s="28" t="s">
        <v>8</v>
      </c>
      <c r="W165" s="28" t="s">
        <v>8</v>
      </c>
      <c r="X165" s="28" t="s">
        <v>8</v>
      </c>
      <c r="Y165" s="28" t="s">
        <v>8</v>
      </c>
      <c r="Z165" s="28" t="s">
        <v>8</v>
      </c>
      <c r="AA165" s="28" t="s">
        <v>8</v>
      </c>
      <c r="AB165" s="28" t="s">
        <v>8</v>
      </c>
      <c r="AC165" s="28" t="s">
        <v>8</v>
      </c>
      <c r="AD165" s="28" t="s">
        <v>8</v>
      </c>
      <c r="AE165" s="28" t="s">
        <v>8</v>
      </c>
      <c r="AF165" s="28" t="s">
        <v>8</v>
      </c>
      <c r="AG165" s="28" t="s">
        <v>8</v>
      </c>
      <c r="AH165" s="28" t="s">
        <v>8</v>
      </c>
      <c r="AI165" s="28" t="s">
        <v>8</v>
      </c>
      <c r="AJ165" s="28" t="s">
        <v>8</v>
      </c>
      <c r="AK165" s="28" t="s">
        <v>8</v>
      </c>
      <c r="AL165" s="28" t="s">
        <v>8</v>
      </c>
      <c r="AM165" s="28" t="s">
        <v>8</v>
      </c>
      <c r="AN165" s="28" t="s">
        <v>8</v>
      </c>
      <c r="AO165" s="28" t="s">
        <v>8</v>
      </c>
      <c r="AP165" s="28" t="s">
        <v>8</v>
      </c>
      <c r="AQ165" s="28" t="s">
        <v>8</v>
      </c>
      <c r="AR165" s="28" t="s">
        <v>8</v>
      </c>
      <c r="AS165" s="28" t="s">
        <v>8</v>
      </c>
      <c r="AT165" s="28" t="s">
        <v>8</v>
      </c>
      <c r="AU165" s="28" t="s">
        <v>8</v>
      </c>
      <c r="AV165" s="28" t="s">
        <v>8</v>
      </c>
      <c r="AW165" s="28" t="s">
        <v>8</v>
      </c>
    </row>
    <row r="166" spans="2:49">
      <c r="B166" s="1" t="s">
        <v>8</v>
      </c>
      <c r="C166" s="1" t="s">
        <v>477</v>
      </c>
      <c r="D166" s="1" t="s">
        <v>9</v>
      </c>
      <c r="E166" s="1" t="s">
        <v>478</v>
      </c>
      <c r="F166" s="28" t="s">
        <v>8</v>
      </c>
      <c r="G166" s="28" t="s">
        <v>8</v>
      </c>
      <c r="H166" s="28" t="s">
        <v>8</v>
      </c>
      <c r="I166" s="28" t="s">
        <v>8</v>
      </c>
      <c r="J166" s="28" t="s">
        <v>8</v>
      </c>
      <c r="K166" s="28" t="s">
        <v>8</v>
      </c>
      <c r="L166" s="28" t="s">
        <v>8</v>
      </c>
      <c r="M166" s="28" t="s">
        <v>8</v>
      </c>
      <c r="N166" s="28" t="s">
        <v>8</v>
      </c>
      <c r="O166" s="28" t="s">
        <v>8</v>
      </c>
      <c r="P166" s="28" t="s">
        <v>8</v>
      </c>
      <c r="Q166" s="28">
        <v>40</v>
      </c>
      <c r="R166" s="28">
        <v>40</v>
      </c>
      <c r="S166" s="28">
        <v>40</v>
      </c>
      <c r="T166" s="28">
        <v>38</v>
      </c>
      <c r="U166" s="28">
        <v>35</v>
      </c>
      <c r="V166" s="28">
        <v>35</v>
      </c>
      <c r="W166" s="28">
        <v>35</v>
      </c>
      <c r="X166" s="28">
        <v>35</v>
      </c>
      <c r="Y166" s="28">
        <v>35</v>
      </c>
      <c r="Z166" s="28">
        <v>35</v>
      </c>
      <c r="AA166" s="28">
        <v>35</v>
      </c>
      <c r="AB166" s="28">
        <v>35</v>
      </c>
      <c r="AC166" s="28">
        <v>35</v>
      </c>
      <c r="AD166" s="28">
        <v>35</v>
      </c>
      <c r="AE166" s="28">
        <v>35</v>
      </c>
      <c r="AF166" s="28">
        <v>35</v>
      </c>
      <c r="AG166" s="28">
        <v>35</v>
      </c>
      <c r="AH166" s="28">
        <v>35</v>
      </c>
      <c r="AI166" s="28">
        <v>35</v>
      </c>
      <c r="AJ166" s="28">
        <v>35</v>
      </c>
      <c r="AK166" s="28">
        <v>34</v>
      </c>
      <c r="AL166" s="28">
        <v>34</v>
      </c>
      <c r="AM166" s="28">
        <v>33</v>
      </c>
      <c r="AN166" s="28">
        <v>33</v>
      </c>
      <c r="AO166" s="28">
        <v>33</v>
      </c>
      <c r="AP166" s="28">
        <v>32</v>
      </c>
      <c r="AQ166" s="28">
        <v>32</v>
      </c>
      <c r="AR166" s="28">
        <v>32</v>
      </c>
      <c r="AS166" s="28">
        <v>32</v>
      </c>
      <c r="AT166" s="28">
        <v>32</v>
      </c>
      <c r="AU166" s="28">
        <v>32</v>
      </c>
      <c r="AV166" s="28">
        <v>32</v>
      </c>
      <c r="AW166" s="28">
        <v>32</v>
      </c>
    </row>
    <row r="167" spans="2:49">
      <c r="B167" s="1" t="s">
        <v>479</v>
      </c>
      <c r="C167" s="1" t="s">
        <v>480</v>
      </c>
      <c r="D167" s="1" t="s">
        <v>43</v>
      </c>
      <c r="E167" s="1" t="s">
        <v>481</v>
      </c>
      <c r="F167" s="28" t="s">
        <v>8</v>
      </c>
      <c r="G167" s="28" t="s">
        <v>8</v>
      </c>
      <c r="H167" s="28" t="s">
        <v>8</v>
      </c>
      <c r="I167" s="28" t="s">
        <v>8</v>
      </c>
      <c r="J167" s="28" t="s">
        <v>8</v>
      </c>
      <c r="K167" s="28" t="s">
        <v>8</v>
      </c>
      <c r="L167" s="28" t="s">
        <v>8</v>
      </c>
      <c r="M167" s="28" t="s">
        <v>8</v>
      </c>
      <c r="N167" s="28" t="s">
        <v>8</v>
      </c>
      <c r="O167" s="28" t="s">
        <v>8</v>
      </c>
      <c r="P167" s="28" t="s">
        <v>8</v>
      </c>
      <c r="Q167" s="28" t="s">
        <v>8</v>
      </c>
      <c r="R167" s="28" t="s">
        <v>8</v>
      </c>
      <c r="S167" s="28">
        <v>30</v>
      </c>
      <c r="T167" s="28">
        <v>30</v>
      </c>
      <c r="U167" s="28">
        <v>30</v>
      </c>
      <c r="V167" s="28">
        <v>30</v>
      </c>
      <c r="W167" s="28">
        <v>30</v>
      </c>
      <c r="X167" s="28">
        <v>30</v>
      </c>
      <c r="Y167" s="28" t="s">
        <v>8</v>
      </c>
      <c r="Z167" s="28" t="s">
        <v>8</v>
      </c>
      <c r="AA167" s="28" t="s">
        <v>8</v>
      </c>
      <c r="AB167" s="28" t="s">
        <v>8</v>
      </c>
      <c r="AC167" s="28" t="s">
        <v>8</v>
      </c>
      <c r="AD167" s="28" t="s">
        <v>8</v>
      </c>
      <c r="AE167" s="28" t="s">
        <v>8</v>
      </c>
      <c r="AF167" s="28" t="s">
        <v>8</v>
      </c>
      <c r="AG167" s="28" t="s">
        <v>8</v>
      </c>
      <c r="AH167" s="28" t="s">
        <v>8</v>
      </c>
      <c r="AI167" s="28" t="s">
        <v>8</v>
      </c>
      <c r="AJ167" s="28" t="s">
        <v>8</v>
      </c>
      <c r="AK167" s="28" t="s">
        <v>8</v>
      </c>
      <c r="AL167" s="28" t="s">
        <v>8</v>
      </c>
      <c r="AM167" s="28" t="s">
        <v>8</v>
      </c>
      <c r="AN167" s="28" t="s">
        <v>8</v>
      </c>
      <c r="AO167" s="28" t="s">
        <v>8</v>
      </c>
      <c r="AP167" s="28" t="s">
        <v>8</v>
      </c>
      <c r="AQ167" s="28">
        <v>30</v>
      </c>
      <c r="AR167" s="28">
        <v>30</v>
      </c>
      <c r="AS167" s="28">
        <v>30</v>
      </c>
      <c r="AT167" s="28">
        <v>30</v>
      </c>
      <c r="AU167" s="28">
        <v>30</v>
      </c>
      <c r="AV167" s="28">
        <v>30</v>
      </c>
      <c r="AW167" s="28">
        <v>30</v>
      </c>
    </row>
    <row r="168" spans="2:49">
      <c r="B168" s="1" t="s">
        <v>482</v>
      </c>
      <c r="C168" s="1" t="s">
        <v>483</v>
      </c>
      <c r="D168" s="1" t="s">
        <v>9</v>
      </c>
      <c r="E168" s="1" t="s">
        <v>484</v>
      </c>
      <c r="F168" s="28" t="s">
        <v>8</v>
      </c>
      <c r="G168" s="28" t="s">
        <v>8</v>
      </c>
      <c r="H168" s="28" t="s">
        <v>8</v>
      </c>
      <c r="I168" s="28" t="s">
        <v>8</v>
      </c>
      <c r="J168" s="28" t="s">
        <v>8</v>
      </c>
      <c r="K168" s="28" t="s">
        <v>8</v>
      </c>
      <c r="L168" s="28" t="s">
        <v>8</v>
      </c>
      <c r="M168" s="28" t="s">
        <v>8</v>
      </c>
      <c r="N168" s="28" t="s">
        <v>8</v>
      </c>
      <c r="O168" s="28" t="s">
        <v>8</v>
      </c>
      <c r="P168" s="28" t="s">
        <v>8</v>
      </c>
      <c r="Q168" s="28" t="s">
        <v>8</v>
      </c>
      <c r="R168" s="28" t="s">
        <v>8</v>
      </c>
      <c r="S168" s="28" t="s">
        <v>8</v>
      </c>
      <c r="T168" s="28" t="s">
        <v>8</v>
      </c>
      <c r="U168" s="28" t="s">
        <v>8</v>
      </c>
      <c r="V168" s="28" t="s">
        <v>8</v>
      </c>
      <c r="W168" s="28" t="s">
        <v>8</v>
      </c>
      <c r="X168" s="28" t="s">
        <v>8</v>
      </c>
      <c r="Y168" s="28" t="s">
        <v>8</v>
      </c>
      <c r="Z168" s="28" t="s">
        <v>8</v>
      </c>
      <c r="AA168" s="28" t="s">
        <v>8</v>
      </c>
      <c r="AB168" s="28" t="s">
        <v>8</v>
      </c>
      <c r="AC168" s="28" t="s">
        <v>8</v>
      </c>
      <c r="AD168" s="28" t="s">
        <v>8</v>
      </c>
      <c r="AE168" s="28" t="s">
        <v>8</v>
      </c>
      <c r="AF168" s="28" t="s">
        <v>8</v>
      </c>
      <c r="AG168" s="28" t="s">
        <v>8</v>
      </c>
      <c r="AH168" s="28" t="s">
        <v>8</v>
      </c>
      <c r="AI168" s="28" t="s">
        <v>8</v>
      </c>
      <c r="AJ168" s="28" t="s">
        <v>8</v>
      </c>
      <c r="AK168" s="28">
        <v>30</v>
      </c>
      <c r="AL168" s="28">
        <v>30</v>
      </c>
      <c r="AM168" s="28">
        <v>30</v>
      </c>
      <c r="AN168" s="28">
        <v>30</v>
      </c>
      <c r="AO168" s="28">
        <v>30</v>
      </c>
      <c r="AP168" s="28">
        <v>30</v>
      </c>
      <c r="AQ168" s="28">
        <v>30</v>
      </c>
      <c r="AR168" s="28">
        <v>30</v>
      </c>
      <c r="AS168" s="28">
        <v>30</v>
      </c>
      <c r="AT168" s="28">
        <v>30</v>
      </c>
      <c r="AU168" s="28">
        <v>30</v>
      </c>
      <c r="AV168" s="28">
        <v>30</v>
      </c>
      <c r="AW168" s="28">
        <v>30</v>
      </c>
    </row>
    <row r="169" spans="2:49">
      <c r="B169" s="1" t="s">
        <v>485</v>
      </c>
      <c r="C169" s="1" t="s">
        <v>486</v>
      </c>
      <c r="D169" s="1" t="s">
        <v>43</v>
      </c>
      <c r="E169" s="1" t="s">
        <v>487</v>
      </c>
      <c r="F169" s="28" t="s">
        <v>8</v>
      </c>
      <c r="G169" s="28" t="s">
        <v>8</v>
      </c>
      <c r="H169" s="28" t="s">
        <v>8</v>
      </c>
      <c r="I169" s="28" t="s">
        <v>8</v>
      </c>
      <c r="J169" s="28" t="s">
        <v>8</v>
      </c>
      <c r="K169" s="28" t="s">
        <v>8</v>
      </c>
      <c r="L169" s="28" t="s">
        <v>8</v>
      </c>
      <c r="M169" s="28" t="s">
        <v>8</v>
      </c>
      <c r="N169" s="28" t="s">
        <v>8</v>
      </c>
      <c r="O169" s="28" t="s">
        <v>8</v>
      </c>
      <c r="P169" s="28" t="s">
        <v>8</v>
      </c>
      <c r="Q169" s="28" t="s">
        <v>8</v>
      </c>
      <c r="R169" s="28" t="s">
        <v>8</v>
      </c>
      <c r="S169" s="28" t="s">
        <v>8</v>
      </c>
      <c r="T169" s="28" t="s">
        <v>8</v>
      </c>
      <c r="U169" s="28" t="s">
        <v>8</v>
      </c>
      <c r="V169" s="28" t="s">
        <v>8</v>
      </c>
      <c r="W169" s="28" t="s">
        <v>8</v>
      </c>
      <c r="X169" s="28" t="s">
        <v>8</v>
      </c>
      <c r="Y169" s="28" t="s">
        <v>8</v>
      </c>
      <c r="Z169" s="28" t="s">
        <v>8</v>
      </c>
      <c r="AA169" s="28" t="s">
        <v>8</v>
      </c>
      <c r="AB169" s="28" t="s">
        <v>8</v>
      </c>
      <c r="AC169" s="28" t="s">
        <v>8</v>
      </c>
      <c r="AD169" s="28" t="s">
        <v>8</v>
      </c>
      <c r="AE169" s="28" t="s">
        <v>8</v>
      </c>
      <c r="AF169" s="28" t="s">
        <v>8</v>
      </c>
      <c r="AG169" s="28" t="s">
        <v>8</v>
      </c>
      <c r="AH169" s="28" t="s">
        <v>8</v>
      </c>
      <c r="AI169" s="28" t="s">
        <v>8</v>
      </c>
      <c r="AJ169" s="28" t="s">
        <v>8</v>
      </c>
      <c r="AK169" s="28" t="s">
        <v>8</v>
      </c>
      <c r="AL169" s="28" t="s">
        <v>8</v>
      </c>
      <c r="AM169" s="28" t="s">
        <v>8</v>
      </c>
      <c r="AN169" s="28" t="s">
        <v>8</v>
      </c>
      <c r="AO169" s="28" t="s">
        <v>8</v>
      </c>
      <c r="AP169" s="28" t="s">
        <v>8</v>
      </c>
      <c r="AQ169" s="28" t="s">
        <v>8</v>
      </c>
      <c r="AR169" s="28" t="s">
        <v>8</v>
      </c>
      <c r="AS169" s="28" t="s">
        <v>8</v>
      </c>
      <c r="AT169" s="28" t="s">
        <v>8</v>
      </c>
      <c r="AU169" s="28" t="s">
        <v>8</v>
      </c>
      <c r="AV169" s="28" t="s">
        <v>8</v>
      </c>
      <c r="AW169" s="28" t="s">
        <v>8</v>
      </c>
    </row>
    <row r="170" spans="2:49">
      <c r="B170" s="1" t="s">
        <v>488</v>
      </c>
      <c r="C170" s="1" t="s">
        <v>489</v>
      </c>
      <c r="D170" s="1" t="s">
        <v>9</v>
      </c>
      <c r="E170" s="1" t="s">
        <v>490</v>
      </c>
      <c r="F170" s="28">
        <v>45</v>
      </c>
      <c r="G170" s="28">
        <v>45</v>
      </c>
      <c r="H170" s="28">
        <v>45</v>
      </c>
      <c r="I170" s="28">
        <v>45</v>
      </c>
      <c r="J170" s="28">
        <v>45</v>
      </c>
      <c r="K170" s="28">
        <v>45</v>
      </c>
      <c r="L170" s="28">
        <v>45</v>
      </c>
      <c r="M170" s="28">
        <v>40</v>
      </c>
      <c r="N170" s="28">
        <v>40</v>
      </c>
      <c r="O170" s="28">
        <v>40</v>
      </c>
      <c r="P170" s="28">
        <v>40</v>
      </c>
      <c r="Q170" s="28">
        <v>40</v>
      </c>
      <c r="R170" s="28">
        <v>35</v>
      </c>
      <c r="S170" s="28">
        <v>35</v>
      </c>
      <c r="T170" s="28">
        <v>35</v>
      </c>
      <c r="U170" s="28">
        <v>35</v>
      </c>
      <c r="V170" s="28">
        <v>30</v>
      </c>
      <c r="W170" s="28">
        <v>30</v>
      </c>
      <c r="X170" s="28">
        <v>30</v>
      </c>
      <c r="Y170" s="28">
        <v>30</v>
      </c>
      <c r="Z170" s="28">
        <v>30</v>
      </c>
      <c r="AA170" s="28">
        <v>30</v>
      </c>
      <c r="AB170" s="28">
        <v>30</v>
      </c>
      <c r="AC170" s="28">
        <v>30</v>
      </c>
      <c r="AD170" s="28">
        <v>30</v>
      </c>
      <c r="AE170" s="28">
        <v>30</v>
      </c>
      <c r="AF170" s="28">
        <v>30</v>
      </c>
      <c r="AG170" s="28">
        <v>30</v>
      </c>
      <c r="AH170" s="28">
        <v>30</v>
      </c>
      <c r="AI170" s="28">
        <v>30</v>
      </c>
      <c r="AJ170" s="28">
        <v>30</v>
      </c>
      <c r="AK170" s="28">
        <v>30</v>
      </c>
      <c r="AL170" s="28">
        <v>30</v>
      </c>
      <c r="AM170" s="28">
        <v>30</v>
      </c>
      <c r="AN170" s="28">
        <v>30</v>
      </c>
      <c r="AO170" s="28">
        <v>30</v>
      </c>
      <c r="AP170" s="28">
        <v>30</v>
      </c>
      <c r="AQ170" s="28">
        <v>30</v>
      </c>
      <c r="AR170" s="28">
        <v>30</v>
      </c>
      <c r="AS170" s="28">
        <v>30</v>
      </c>
      <c r="AT170" s="28">
        <v>30</v>
      </c>
      <c r="AU170" s="28">
        <v>30</v>
      </c>
      <c r="AV170" s="28">
        <v>30</v>
      </c>
      <c r="AW170" s="28">
        <v>30</v>
      </c>
    </row>
    <row r="171" spans="2:49">
      <c r="B171" s="1" t="s">
        <v>491</v>
      </c>
      <c r="C171" s="1" t="s">
        <v>492</v>
      </c>
      <c r="D171" s="1" t="s">
        <v>6</v>
      </c>
      <c r="E171" s="1" t="s">
        <v>493</v>
      </c>
      <c r="F171" s="28">
        <v>50</v>
      </c>
      <c r="G171" s="28">
        <v>50</v>
      </c>
      <c r="H171" s="28">
        <v>40</v>
      </c>
      <c r="I171" s="28">
        <v>40</v>
      </c>
      <c r="J171" s="28">
        <v>40</v>
      </c>
      <c r="K171" s="28">
        <v>40</v>
      </c>
      <c r="L171" s="28">
        <v>40</v>
      </c>
      <c r="M171" s="28" t="s">
        <v>8</v>
      </c>
      <c r="N171" s="28" t="s">
        <v>8</v>
      </c>
      <c r="O171" s="28" t="s">
        <v>8</v>
      </c>
      <c r="P171" s="28" t="s">
        <v>8</v>
      </c>
      <c r="Q171" s="28" t="s">
        <v>8</v>
      </c>
      <c r="R171" s="28">
        <v>35.5</v>
      </c>
      <c r="S171" s="28">
        <v>30</v>
      </c>
      <c r="T171" s="28">
        <v>30</v>
      </c>
      <c r="U171" s="28">
        <v>30</v>
      </c>
      <c r="V171" s="28">
        <v>30</v>
      </c>
      <c r="W171" s="28">
        <v>30</v>
      </c>
      <c r="X171" s="28">
        <v>30</v>
      </c>
      <c r="Y171" s="28">
        <v>30</v>
      </c>
      <c r="Z171" s="28" t="s">
        <v>8</v>
      </c>
      <c r="AA171" s="28">
        <v>25</v>
      </c>
      <c r="AB171" s="28">
        <v>25</v>
      </c>
      <c r="AC171" s="28" t="s">
        <v>8</v>
      </c>
      <c r="AD171" s="28">
        <v>30</v>
      </c>
      <c r="AE171" s="28">
        <v>30</v>
      </c>
      <c r="AF171" s="28">
        <v>30</v>
      </c>
      <c r="AG171" s="28">
        <v>30</v>
      </c>
      <c r="AH171" s="28">
        <v>30</v>
      </c>
      <c r="AI171" s="28">
        <v>30</v>
      </c>
      <c r="AJ171" s="28">
        <v>30</v>
      </c>
      <c r="AK171" s="28">
        <v>30</v>
      </c>
      <c r="AL171" s="28">
        <v>30</v>
      </c>
      <c r="AM171" s="28">
        <v>30</v>
      </c>
      <c r="AN171" s="28">
        <v>30</v>
      </c>
      <c r="AO171" s="28">
        <v>30</v>
      </c>
      <c r="AP171" s="28">
        <v>30</v>
      </c>
      <c r="AQ171" s="28">
        <v>30</v>
      </c>
      <c r="AR171" s="28">
        <v>30</v>
      </c>
      <c r="AS171" s="28">
        <v>30</v>
      </c>
      <c r="AT171" s="28">
        <v>30</v>
      </c>
      <c r="AU171" s="28">
        <v>30</v>
      </c>
      <c r="AV171" s="28">
        <v>30</v>
      </c>
      <c r="AW171" s="28">
        <v>30</v>
      </c>
    </row>
    <row r="172" spans="2:49">
      <c r="B172" s="1" t="s">
        <v>494</v>
      </c>
      <c r="C172" s="1" t="s">
        <v>495</v>
      </c>
      <c r="D172" s="1" t="s">
        <v>43</v>
      </c>
      <c r="E172" s="1" t="s">
        <v>496</v>
      </c>
      <c r="F172" s="28" t="s">
        <v>8</v>
      </c>
      <c r="G172" s="28" t="s">
        <v>8</v>
      </c>
      <c r="H172" s="28" t="s">
        <v>8</v>
      </c>
      <c r="I172" s="28" t="s">
        <v>8</v>
      </c>
      <c r="J172" s="28" t="s">
        <v>8</v>
      </c>
      <c r="K172" s="28" t="s">
        <v>8</v>
      </c>
      <c r="L172" s="28" t="s">
        <v>8</v>
      </c>
      <c r="M172" s="28" t="s">
        <v>8</v>
      </c>
      <c r="N172" s="28" t="s">
        <v>8</v>
      </c>
      <c r="O172" s="28" t="s">
        <v>8</v>
      </c>
      <c r="P172" s="28" t="s">
        <v>8</v>
      </c>
      <c r="Q172" s="28" t="s">
        <v>8</v>
      </c>
      <c r="R172" s="28" t="s">
        <v>8</v>
      </c>
      <c r="S172" s="28" t="s">
        <v>8</v>
      </c>
      <c r="T172" s="28" t="s">
        <v>8</v>
      </c>
      <c r="U172" s="28" t="s">
        <v>8</v>
      </c>
      <c r="V172" s="28" t="s">
        <v>8</v>
      </c>
      <c r="W172" s="28" t="s">
        <v>8</v>
      </c>
      <c r="X172" s="28" t="s">
        <v>8</v>
      </c>
      <c r="Y172" s="28" t="s">
        <v>8</v>
      </c>
      <c r="Z172" s="28" t="s">
        <v>8</v>
      </c>
      <c r="AA172" s="28" t="s">
        <v>8</v>
      </c>
      <c r="AB172" s="28" t="s">
        <v>8</v>
      </c>
      <c r="AC172" s="28" t="s">
        <v>8</v>
      </c>
      <c r="AD172" s="28" t="s">
        <v>8</v>
      </c>
      <c r="AE172" s="28" t="s">
        <v>8</v>
      </c>
      <c r="AF172" s="28" t="s">
        <v>8</v>
      </c>
      <c r="AG172" s="28" t="s">
        <v>8</v>
      </c>
      <c r="AH172" s="28" t="s">
        <v>8</v>
      </c>
      <c r="AI172" s="28" t="s">
        <v>8</v>
      </c>
      <c r="AJ172" s="28" t="s">
        <v>8</v>
      </c>
      <c r="AK172" s="28" t="s">
        <v>8</v>
      </c>
      <c r="AL172" s="28" t="s">
        <v>8</v>
      </c>
      <c r="AM172" s="28" t="s">
        <v>8</v>
      </c>
      <c r="AN172" s="28" t="s">
        <v>8</v>
      </c>
      <c r="AO172" s="28" t="s">
        <v>8</v>
      </c>
      <c r="AP172" s="28" t="s">
        <v>8</v>
      </c>
      <c r="AQ172" s="28" t="s">
        <v>8</v>
      </c>
      <c r="AR172" s="28" t="s">
        <v>8</v>
      </c>
      <c r="AS172" s="28" t="s">
        <v>8</v>
      </c>
      <c r="AT172" s="28">
        <v>30</v>
      </c>
      <c r="AU172" s="28">
        <v>30</v>
      </c>
      <c r="AV172" s="28">
        <v>30</v>
      </c>
      <c r="AW172" s="28">
        <v>30</v>
      </c>
    </row>
    <row r="173" spans="2:49">
      <c r="B173" s="1" t="s">
        <v>497</v>
      </c>
      <c r="C173" s="1" t="s">
        <v>498</v>
      </c>
      <c r="D173" s="1" t="s">
        <v>21</v>
      </c>
      <c r="E173" s="1" t="s">
        <v>499</v>
      </c>
      <c r="F173" s="28">
        <v>48</v>
      </c>
      <c r="G173" s="28">
        <v>48</v>
      </c>
      <c r="H173" s="28">
        <v>48</v>
      </c>
      <c r="I173" s="28">
        <v>48</v>
      </c>
      <c r="J173" s="28">
        <v>43</v>
      </c>
      <c r="K173" s="28">
        <v>43</v>
      </c>
      <c r="L173" s="28">
        <v>42</v>
      </c>
      <c r="M173" s="28">
        <v>42</v>
      </c>
      <c r="N173" s="28">
        <v>42</v>
      </c>
      <c r="O173" s="28">
        <v>35</v>
      </c>
      <c r="P173" s="28">
        <v>35</v>
      </c>
      <c r="Q173" s="28">
        <v>35</v>
      </c>
      <c r="R173" s="28">
        <v>35</v>
      </c>
      <c r="S173" s="28">
        <v>35</v>
      </c>
      <c r="T173" s="28">
        <v>35</v>
      </c>
      <c r="U173" s="28">
        <v>35</v>
      </c>
      <c r="V173" s="28">
        <v>35</v>
      </c>
      <c r="W173" s="28">
        <v>35</v>
      </c>
      <c r="X173" s="28">
        <v>35</v>
      </c>
      <c r="Y173" s="28">
        <v>35</v>
      </c>
      <c r="Z173" s="28">
        <v>35</v>
      </c>
      <c r="AA173" s="28">
        <v>35</v>
      </c>
      <c r="AB173" s="28">
        <v>34.5</v>
      </c>
      <c r="AC173" s="28">
        <v>34.5</v>
      </c>
      <c r="AD173" s="28">
        <v>34.5</v>
      </c>
      <c r="AE173" s="28">
        <v>31.5</v>
      </c>
      <c r="AF173" s="28">
        <v>29.6</v>
      </c>
      <c r="AG173" s="28">
        <v>25.5</v>
      </c>
      <c r="AH173" s="28">
        <v>25.5</v>
      </c>
      <c r="AI173" s="28">
        <v>25.5</v>
      </c>
      <c r="AJ173" s="28">
        <v>25.5</v>
      </c>
      <c r="AK173" s="28">
        <v>25</v>
      </c>
      <c r="AL173" s="28">
        <v>25</v>
      </c>
      <c r="AM173" s="28">
        <v>25</v>
      </c>
      <c r="AN173" s="28">
        <v>25</v>
      </c>
      <c r="AO173" s="28">
        <v>25</v>
      </c>
      <c r="AP173" s="28">
        <v>25</v>
      </c>
      <c r="AQ173" s="28">
        <v>25</v>
      </c>
      <c r="AR173" s="28">
        <v>25</v>
      </c>
      <c r="AS173" s="28">
        <v>25</v>
      </c>
      <c r="AT173" s="28">
        <v>25</v>
      </c>
      <c r="AU173" s="28">
        <v>25</v>
      </c>
      <c r="AV173" s="28">
        <v>25.8</v>
      </c>
      <c r="AW173" s="28">
        <v>25.8</v>
      </c>
    </row>
    <row r="174" spans="2:49">
      <c r="B174" s="1" t="s">
        <v>6</v>
      </c>
      <c r="C174" s="1" t="s">
        <v>500</v>
      </c>
      <c r="D174" s="1" t="s">
        <v>21</v>
      </c>
      <c r="E174" s="1" t="s">
        <v>501</v>
      </c>
      <c r="F174" s="28" t="s">
        <v>8</v>
      </c>
      <c r="G174" s="28">
        <v>50.8</v>
      </c>
      <c r="H174" s="28">
        <v>50.8</v>
      </c>
      <c r="I174" s="28">
        <v>50.8</v>
      </c>
      <c r="J174" s="28">
        <v>50.8</v>
      </c>
      <c r="K174" s="28">
        <v>50.8</v>
      </c>
      <c r="L174" s="28">
        <v>50.8</v>
      </c>
      <c r="M174" s="28">
        <v>50.8</v>
      </c>
      <c r="N174" s="28">
        <v>50.8</v>
      </c>
      <c r="O174" s="28">
        <v>50.8</v>
      </c>
      <c r="P174" s="28">
        <v>50.8</v>
      </c>
      <c r="Q174" s="28">
        <v>50.8</v>
      </c>
      <c r="R174" s="28">
        <v>28</v>
      </c>
      <c r="S174" s="28">
        <v>28</v>
      </c>
      <c r="T174" s="28">
        <v>28</v>
      </c>
      <c r="U174" s="28">
        <v>28</v>
      </c>
      <c r="V174" s="28">
        <v>28</v>
      </c>
      <c r="W174" s="28">
        <v>28</v>
      </c>
      <c r="X174" s="28">
        <v>28</v>
      </c>
      <c r="Y174" s="28">
        <v>28</v>
      </c>
      <c r="Z174" s="28">
        <v>28</v>
      </c>
      <c r="AA174" s="28">
        <v>28</v>
      </c>
      <c r="AB174" s="28">
        <v>28</v>
      </c>
      <c r="AC174" s="28">
        <v>28</v>
      </c>
      <c r="AD174" s="28">
        <v>28</v>
      </c>
      <c r="AE174" s="28">
        <v>28</v>
      </c>
      <c r="AF174" s="28">
        <v>28</v>
      </c>
      <c r="AG174" s="28">
        <v>28</v>
      </c>
      <c r="AH174" s="28">
        <v>28</v>
      </c>
      <c r="AI174" s="28">
        <v>28</v>
      </c>
      <c r="AJ174" s="28">
        <v>28</v>
      </c>
      <c r="AK174" s="28">
        <v>28</v>
      </c>
      <c r="AL174" s="28">
        <v>28</v>
      </c>
      <c r="AM174" s="28">
        <v>28</v>
      </c>
      <c r="AN174" s="28">
        <v>27</v>
      </c>
      <c r="AO174" s="28">
        <v>27</v>
      </c>
      <c r="AP174" s="28">
        <v>25</v>
      </c>
      <c r="AQ174" s="28">
        <v>24</v>
      </c>
      <c r="AR174" s="28">
        <v>23</v>
      </c>
      <c r="AS174" s="28">
        <v>22</v>
      </c>
      <c r="AT174" s="28">
        <v>22</v>
      </c>
      <c r="AU174" s="28">
        <v>22</v>
      </c>
      <c r="AV174" s="28">
        <v>22</v>
      </c>
      <c r="AW174" s="28">
        <v>22</v>
      </c>
    </row>
    <row r="175" spans="2:49">
      <c r="B175" s="1" t="s">
        <v>502</v>
      </c>
      <c r="C175" s="1" t="s">
        <v>503</v>
      </c>
      <c r="D175" s="1" t="s">
        <v>11</v>
      </c>
      <c r="E175" s="1" t="s">
        <v>504</v>
      </c>
      <c r="F175" s="28" t="s">
        <v>8</v>
      </c>
      <c r="G175" s="28" t="s">
        <v>8</v>
      </c>
      <c r="H175" s="28" t="s">
        <v>8</v>
      </c>
      <c r="I175" s="28" t="s">
        <v>8</v>
      </c>
      <c r="J175" s="28" t="s">
        <v>8</v>
      </c>
      <c r="K175" s="28" t="s">
        <v>8</v>
      </c>
      <c r="L175" s="28" t="s">
        <v>8</v>
      </c>
      <c r="M175" s="28" t="s">
        <v>8</v>
      </c>
      <c r="N175" s="28" t="s">
        <v>8</v>
      </c>
      <c r="O175" s="28" t="s">
        <v>8</v>
      </c>
      <c r="P175" s="28" t="s">
        <v>8</v>
      </c>
      <c r="Q175" s="28" t="s">
        <v>8</v>
      </c>
      <c r="R175" s="28" t="s">
        <v>8</v>
      </c>
      <c r="S175" s="28" t="s">
        <v>8</v>
      </c>
      <c r="T175" s="28" t="s">
        <v>8</v>
      </c>
      <c r="U175" s="28" t="s">
        <v>8</v>
      </c>
      <c r="V175" s="28" t="s">
        <v>8</v>
      </c>
      <c r="W175" s="28" t="s">
        <v>8</v>
      </c>
      <c r="X175" s="28" t="s">
        <v>8</v>
      </c>
      <c r="Y175" s="28" t="s">
        <v>8</v>
      </c>
      <c r="Z175" s="28" t="s">
        <v>8</v>
      </c>
      <c r="AA175" s="28" t="s">
        <v>8</v>
      </c>
      <c r="AB175" s="28" t="s">
        <v>8</v>
      </c>
      <c r="AC175" s="28" t="s">
        <v>8</v>
      </c>
      <c r="AD175" s="28">
        <v>25</v>
      </c>
      <c r="AE175" s="28">
        <v>25</v>
      </c>
      <c r="AF175" s="28">
        <v>25</v>
      </c>
      <c r="AG175" s="28" t="s">
        <v>8</v>
      </c>
      <c r="AH175" s="28" t="s">
        <v>8</v>
      </c>
      <c r="AI175" s="28" t="s">
        <v>8</v>
      </c>
      <c r="AJ175" s="28">
        <v>25</v>
      </c>
      <c r="AK175" s="28">
        <v>25</v>
      </c>
      <c r="AL175" s="28">
        <v>25</v>
      </c>
      <c r="AM175" s="28">
        <v>25</v>
      </c>
      <c r="AN175" s="28">
        <v>25</v>
      </c>
      <c r="AO175" s="28">
        <v>25</v>
      </c>
      <c r="AP175" s="28">
        <v>25</v>
      </c>
      <c r="AQ175" s="28">
        <v>25</v>
      </c>
      <c r="AR175" s="28">
        <v>25</v>
      </c>
      <c r="AS175" s="28">
        <v>25</v>
      </c>
      <c r="AT175" s="28">
        <v>25</v>
      </c>
      <c r="AU175" s="28">
        <v>25</v>
      </c>
      <c r="AV175" s="28">
        <v>25</v>
      </c>
      <c r="AW175" s="28">
        <v>25</v>
      </c>
    </row>
    <row r="176" spans="2:49">
      <c r="B176" s="1" t="s">
        <v>505</v>
      </c>
      <c r="C176" s="1" t="s">
        <v>506</v>
      </c>
      <c r="D176" s="1" t="s">
        <v>43</v>
      </c>
      <c r="E176" s="1" t="s">
        <v>507</v>
      </c>
      <c r="F176" s="28" t="s">
        <v>8</v>
      </c>
      <c r="G176" s="28" t="s">
        <v>8</v>
      </c>
      <c r="H176" s="28" t="s">
        <v>8</v>
      </c>
      <c r="I176" s="28" t="s">
        <v>8</v>
      </c>
      <c r="J176" s="28" t="s">
        <v>8</v>
      </c>
      <c r="K176" s="28" t="s">
        <v>8</v>
      </c>
      <c r="L176" s="28" t="s">
        <v>8</v>
      </c>
      <c r="M176" s="28" t="s">
        <v>8</v>
      </c>
      <c r="N176" s="28" t="s">
        <v>8</v>
      </c>
      <c r="O176" s="28" t="s">
        <v>8</v>
      </c>
      <c r="P176" s="28" t="s">
        <v>8</v>
      </c>
      <c r="Q176" s="28" t="s">
        <v>8</v>
      </c>
      <c r="R176" s="28" t="s">
        <v>8</v>
      </c>
      <c r="S176" s="28" t="s">
        <v>8</v>
      </c>
      <c r="T176" s="28" t="s">
        <v>8</v>
      </c>
      <c r="U176" s="28" t="s">
        <v>8</v>
      </c>
      <c r="V176" s="28" t="s">
        <v>8</v>
      </c>
      <c r="W176" s="28" t="s">
        <v>8</v>
      </c>
      <c r="X176" s="28" t="s">
        <v>8</v>
      </c>
      <c r="Y176" s="28" t="s">
        <v>8</v>
      </c>
      <c r="Z176" s="28" t="s">
        <v>8</v>
      </c>
      <c r="AA176" s="28" t="s">
        <v>8</v>
      </c>
      <c r="AB176" s="28" t="s">
        <v>8</v>
      </c>
      <c r="AC176" s="28" t="s">
        <v>8</v>
      </c>
      <c r="AD176" s="28" t="s">
        <v>8</v>
      </c>
      <c r="AE176" s="28" t="s">
        <v>8</v>
      </c>
      <c r="AF176" s="28" t="s">
        <v>8</v>
      </c>
      <c r="AG176" s="28" t="s">
        <v>8</v>
      </c>
      <c r="AH176" s="28" t="s">
        <v>8</v>
      </c>
      <c r="AI176" s="28" t="s">
        <v>8</v>
      </c>
      <c r="AJ176" s="28" t="s">
        <v>8</v>
      </c>
      <c r="AK176" s="28" t="s">
        <v>8</v>
      </c>
      <c r="AL176" s="28" t="s">
        <v>8</v>
      </c>
      <c r="AM176" s="28" t="s">
        <v>8</v>
      </c>
      <c r="AN176" s="28" t="s">
        <v>8</v>
      </c>
      <c r="AO176" s="28" t="s">
        <v>8</v>
      </c>
      <c r="AP176" s="28" t="s">
        <v>8</v>
      </c>
      <c r="AQ176" s="28">
        <v>20</v>
      </c>
      <c r="AR176" s="28">
        <v>25</v>
      </c>
      <c r="AS176" s="28">
        <v>25</v>
      </c>
      <c r="AT176" s="28">
        <v>25</v>
      </c>
      <c r="AU176" s="28">
        <v>25</v>
      </c>
      <c r="AV176" s="28">
        <v>25</v>
      </c>
      <c r="AW176" s="28">
        <v>25</v>
      </c>
    </row>
    <row r="177" spans="2:49">
      <c r="B177" s="1" t="s">
        <v>508</v>
      </c>
      <c r="C177" s="1" t="s">
        <v>509</v>
      </c>
      <c r="D177" s="1" t="s">
        <v>43</v>
      </c>
      <c r="E177" s="1" t="s">
        <v>510</v>
      </c>
      <c r="F177" s="28">
        <v>45</v>
      </c>
      <c r="G177" s="28">
        <v>45</v>
      </c>
      <c r="H177" s="28">
        <v>45</v>
      </c>
      <c r="I177" s="28">
        <v>45</v>
      </c>
      <c r="J177" s="28">
        <v>45</v>
      </c>
      <c r="K177" s="28">
        <v>45</v>
      </c>
      <c r="L177" s="28">
        <v>48</v>
      </c>
      <c r="M177" s="28">
        <v>48</v>
      </c>
      <c r="N177" s="28">
        <v>28</v>
      </c>
      <c r="O177" s="28">
        <v>33</v>
      </c>
      <c r="P177" s="28">
        <v>33</v>
      </c>
      <c r="Q177" s="28">
        <v>33</v>
      </c>
      <c r="R177" s="28">
        <v>33</v>
      </c>
      <c r="S177" s="28">
        <v>33</v>
      </c>
      <c r="T177" s="28">
        <v>33</v>
      </c>
      <c r="U177" s="28">
        <v>33</v>
      </c>
      <c r="V177" s="28">
        <v>33</v>
      </c>
      <c r="W177" s="28">
        <v>33</v>
      </c>
      <c r="X177" s="28">
        <v>33</v>
      </c>
      <c r="Y177" s="28">
        <v>33</v>
      </c>
      <c r="Z177" s="28">
        <v>33</v>
      </c>
      <c r="AA177" s="28">
        <v>33</v>
      </c>
      <c r="AB177" s="28">
        <v>33</v>
      </c>
      <c r="AC177" s="28">
        <v>33</v>
      </c>
      <c r="AD177" s="28">
        <v>33</v>
      </c>
      <c r="AE177" s="28">
        <v>33</v>
      </c>
      <c r="AF177" s="28">
        <v>33</v>
      </c>
      <c r="AG177" s="28">
        <v>33</v>
      </c>
      <c r="AH177" s="28">
        <v>30</v>
      </c>
      <c r="AI177" s="28">
        <v>30</v>
      </c>
      <c r="AJ177" s="28">
        <v>30</v>
      </c>
      <c r="AK177" s="28">
        <v>28</v>
      </c>
      <c r="AL177" s="28">
        <v>28</v>
      </c>
      <c r="AM177" s="28">
        <v>28</v>
      </c>
      <c r="AN177" s="28">
        <v>28</v>
      </c>
      <c r="AO177" s="28">
        <v>28</v>
      </c>
      <c r="AP177" s="28">
        <v>28</v>
      </c>
      <c r="AQ177" s="28">
        <v>28</v>
      </c>
      <c r="AR177" s="28">
        <v>28</v>
      </c>
      <c r="AS177" s="28">
        <v>28</v>
      </c>
      <c r="AT177" s="28">
        <v>28</v>
      </c>
      <c r="AU177" s="28">
        <v>28</v>
      </c>
      <c r="AV177" s="28">
        <v>28</v>
      </c>
      <c r="AW177" s="28">
        <v>28</v>
      </c>
    </row>
    <row r="178" spans="2:49">
      <c r="B178" s="1" t="s">
        <v>511</v>
      </c>
      <c r="C178" s="1" t="s">
        <v>512</v>
      </c>
      <c r="D178" s="1" t="s">
        <v>11</v>
      </c>
      <c r="E178" s="1" t="s">
        <v>513</v>
      </c>
      <c r="F178" s="28">
        <v>50</v>
      </c>
      <c r="G178" s="28">
        <v>50</v>
      </c>
      <c r="H178" s="28">
        <v>50</v>
      </c>
      <c r="I178" s="28">
        <v>50</v>
      </c>
      <c r="J178" s="28">
        <v>50</v>
      </c>
      <c r="K178" s="28">
        <v>50</v>
      </c>
      <c r="L178" s="28">
        <v>50</v>
      </c>
      <c r="M178" s="28">
        <v>50</v>
      </c>
      <c r="N178" s="28">
        <v>50</v>
      </c>
      <c r="O178" s="28">
        <v>50</v>
      </c>
      <c r="P178" s="28">
        <v>50</v>
      </c>
      <c r="Q178" s="28">
        <v>50</v>
      </c>
      <c r="R178" s="28">
        <v>50</v>
      </c>
      <c r="S178" s="28">
        <v>50</v>
      </c>
      <c r="T178" s="28">
        <v>50</v>
      </c>
      <c r="U178" s="28">
        <v>50</v>
      </c>
      <c r="V178" s="28">
        <v>50</v>
      </c>
      <c r="W178" s="28">
        <v>50</v>
      </c>
      <c r="X178" s="28">
        <v>30</v>
      </c>
      <c r="Y178" s="28">
        <v>30</v>
      </c>
      <c r="Z178" s="28">
        <v>30</v>
      </c>
      <c r="AA178" s="28">
        <v>12</v>
      </c>
      <c r="AB178" s="28">
        <v>12</v>
      </c>
      <c r="AC178" s="28">
        <v>12</v>
      </c>
      <c r="AD178" s="28">
        <v>12</v>
      </c>
      <c r="AE178" s="28">
        <v>12</v>
      </c>
      <c r="AF178" s="28">
        <v>12</v>
      </c>
      <c r="AG178" s="28">
        <v>12</v>
      </c>
      <c r="AH178" s="28">
        <v>12</v>
      </c>
      <c r="AI178" s="28">
        <v>12</v>
      </c>
      <c r="AJ178" s="28">
        <v>12</v>
      </c>
      <c r="AK178" s="28">
        <v>12</v>
      </c>
      <c r="AL178" s="28">
        <v>12</v>
      </c>
      <c r="AM178" s="28">
        <v>12</v>
      </c>
      <c r="AN178" s="28">
        <v>12</v>
      </c>
      <c r="AO178" s="28">
        <v>12</v>
      </c>
      <c r="AP178" s="28">
        <v>12</v>
      </c>
      <c r="AQ178" s="28">
        <v>12</v>
      </c>
      <c r="AR178" s="28">
        <v>15</v>
      </c>
      <c r="AS178" s="28">
        <v>15</v>
      </c>
      <c r="AT178" s="28">
        <v>15</v>
      </c>
      <c r="AU178" s="28">
        <v>15</v>
      </c>
      <c r="AV178" s="28">
        <v>15</v>
      </c>
      <c r="AW178" s="28">
        <v>15</v>
      </c>
    </row>
    <row r="179" spans="2:49">
      <c r="B179" s="1" t="s">
        <v>514</v>
      </c>
      <c r="C179" s="1" t="s">
        <v>515</v>
      </c>
      <c r="D179" s="1" t="s">
        <v>11</v>
      </c>
      <c r="E179" s="1" t="s">
        <v>516</v>
      </c>
      <c r="F179" s="28">
        <v>55</v>
      </c>
      <c r="G179" s="28">
        <v>55</v>
      </c>
      <c r="H179" s="28">
        <v>55</v>
      </c>
      <c r="I179" s="28">
        <v>55</v>
      </c>
      <c r="J179" s="28">
        <v>55</v>
      </c>
      <c r="K179" s="28">
        <v>55</v>
      </c>
      <c r="L179" s="28">
        <v>55</v>
      </c>
      <c r="M179" s="28">
        <v>55</v>
      </c>
      <c r="N179" s="28">
        <v>55</v>
      </c>
      <c r="O179" s="28">
        <v>60</v>
      </c>
      <c r="P179" s="28">
        <v>45</v>
      </c>
      <c r="Q179" s="28">
        <v>50</v>
      </c>
      <c r="R179" s="28">
        <v>55</v>
      </c>
      <c r="S179" s="28">
        <v>52</v>
      </c>
      <c r="T179" s="28">
        <v>49</v>
      </c>
      <c r="U179" s="28">
        <v>46</v>
      </c>
      <c r="V179" s="28">
        <v>46</v>
      </c>
      <c r="W179" s="28">
        <v>46</v>
      </c>
      <c r="X179" s="28">
        <v>40</v>
      </c>
      <c r="Y179" s="28">
        <v>45.15</v>
      </c>
      <c r="Z179" s="28">
        <v>45.15</v>
      </c>
      <c r="AA179" s="28">
        <v>45.15</v>
      </c>
      <c r="AB179" s="28">
        <v>45</v>
      </c>
      <c r="AC179" s="28">
        <v>35</v>
      </c>
      <c r="AD179" s="28">
        <v>35</v>
      </c>
      <c r="AE179" s="28">
        <v>35</v>
      </c>
      <c r="AF179" s="28">
        <v>35</v>
      </c>
      <c r="AG179" s="28">
        <v>35</v>
      </c>
      <c r="AH179" s="28">
        <v>35</v>
      </c>
      <c r="AI179" s="28">
        <v>35</v>
      </c>
      <c r="AJ179" s="28">
        <v>35</v>
      </c>
      <c r="AK179" s="28">
        <v>35</v>
      </c>
      <c r="AL179" s="28">
        <v>35</v>
      </c>
      <c r="AM179" s="28">
        <v>35</v>
      </c>
      <c r="AN179" s="28">
        <v>34</v>
      </c>
      <c r="AO179" s="28">
        <v>33</v>
      </c>
      <c r="AP179" s="28">
        <v>32</v>
      </c>
      <c r="AQ179" s="28">
        <v>31</v>
      </c>
      <c r="AR179" s="28">
        <v>30</v>
      </c>
      <c r="AS179" s="28">
        <v>29</v>
      </c>
      <c r="AT179" s="28">
        <v>29</v>
      </c>
      <c r="AU179" s="28">
        <v>29</v>
      </c>
      <c r="AV179" s="28">
        <v>29</v>
      </c>
      <c r="AW179" s="28">
        <v>29</v>
      </c>
    </row>
    <row r="180" spans="2:49">
      <c r="B180" s="1" t="s">
        <v>517</v>
      </c>
      <c r="C180" s="1" t="s">
        <v>518</v>
      </c>
      <c r="D180" s="1" t="s">
        <v>6</v>
      </c>
      <c r="E180" s="1" t="s">
        <v>519</v>
      </c>
      <c r="F180" s="28">
        <v>50</v>
      </c>
      <c r="G180" s="28">
        <v>50</v>
      </c>
      <c r="H180" s="28">
        <v>50</v>
      </c>
      <c r="I180" s="28">
        <v>50</v>
      </c>
      <c r="J180" s="28">
        <v>50</v>
      </c>
      <c r="K180" s="28">
        <v>50</v>
      </c>
      <c r="L180" s="28">
        <v>50</v>
      </c>
      <c r="M180" s="28">
        <v>50</v>
      </c>
      <c r="N180" s="28">
        <v>50</v>
      </c>
      <c r="O180" s="28">
        <v>50</v>
      </c>
      <c r="P180" s="28">
        <v>50</v>
      </c>
      <c r="Q180" s="28">
        <v>47.5</v>
      </c>
      <c r="R180" s="28">
        <v>45</v>
      </c>
      <c r="S180" s="28">
        <v>42</v>
      </c>
      <c r="T180" s="28">
        <v>34</v>
      </c>
      <c r="U180" s="28">
        <v>34</v>
      </c>
      <c r="V180" s="28">
        <v>34</v>
      </c>
      <c r="W180" s="28">
        <v>30</v>
      </c>
      <c r="X180" s="28">
        <v>30</v>
      </c>
      <c r="Y180" s="28">
        <v>30</v>
      </c>
      <c r="Z180" s="28">
        <v>37</v>
      </c>
      <c r="AA180" s="28">
        <v>37</v>
      </c>
      <c r="AB180" s="28">
        <v>37</v>
      </c>
      <c r="AC180" s="28">
        <v>30</v>
      </c>
      <c r="AD180" s="28">
        <v>30</v>
      </c>
      <c r="AE180" s="28">
        <v>30</v>
      </c>
      <c r="AF180" s="28">
        <v>30</v>
      </c>
      <c r="AG180" s="28">
        <v>30</v>
      </c>
      <c r="AH180" s="28">
        <v>30</v>
      </c>
      <c r="AI180" s="28">
        <v>30</v>
      </c>
      <c r="AJ180" s="28">
        <v>27.5</v>
      </c>
      <c r="AK180" s="28">
        <v>25</v>
      </c>
      <c r="AL180" s="28">
        <v>25</v>
      </c>
      <c r="AM180" s="28">
        <v>25</v>
      </c>
      <c r="AN180" s="28">
        <v>25</v>
      </c>
      <c r="AO180" s="28">
        <v>25</v>
      </c>
      <c r="AP180" s="28">
        <v>25</v>
      </c>
      <c r="AQ180" s="28">
        <v>25</v>
      </c>
      <c r="AR180" s="28">
        <v>25</v>
      </c>
      <c r="AS180" s="28">
        <v>25</v>
      </c>
      <c r="AT180" s="28">
        <v>25</v>
      </c>
      <c r="AU180" s="28">
        <v>25</v>
      </c>
      <c r="AV180" s="28">
        <v>25</v>
      </c>
      <c r="AW180" s="28">
        <v>25</v>
      </c>
    </row>
    <row r="181" spans="2:49">
      <c r="B181" s="1" t="s">
        <v>520</v>
      </c>
      <c r="C181" s="1" t="s">
        <v>521</v>
      </c>
      <c r="D181" s="1" t="s">
        <v>43</v>
      </c>
      <c r="E181" s="1" t="s">
        <v>522</v>
      </c>
      <c r="F181" s="28" t="s">
        <v>8</v>
      </c>
      <c r="G181" s="28" t="s">
        <v>8</v>
      </c>
      <c r="H181" s="28" t="s">
        <v>8</v>
      </c>
      <c r="I181" s="28" t="s">
        <v>8</v>
      </c>
      <c r="J181" s="28" t="s">
        <v>8</v>
      </c>
      <c r="K181" s="28" t="s">
        <v>8</v>
      </c>
      <c r="L181" s="28" t="s">
        <v>8</v>
      </c>
      <c r="M181" s="28" t="s">
        <v>8</v>
      </c>
      <c r="N181" s="28" t="s">
        <v>8</v>
      </c>
      <c r="O181" s="28" t="s">
        <v>8</v>
      </c>
      <c r="P181" s="28" t="s">
        <v>8</v>
      </c>
      <c r="Q181" s="28" t="s">
        <v>8</v>
      </c>
      <c r="R181" s="28" t="s">
        <v>8</v>
      </c>
      <c r="S181" s="28" t="s">
        <v>8</v>
      </c>
      <c r="T181" s="28" t="s">
        <v>8</v>
      </c>
      <c r="U181" s="28" t="s">
        <v>8</v>
      </c>
      <c r="V181" s="28" t="s">
        <v>8</v>
      </c>
      <c r="W181" s="28" t="s">
        <v>8</v>
      </c>
      <c r="X181" s="28" t="s">
        <v>8</v>
      </c>
      <c r="Y181" s="28" t="s">
        <v>8</v>
      </c>
      <c r="Z181" s="28" t="s">
        <v>8</v>
      </c>
      <c r="AA181" s="28" t="s">
        <v>8</v>
      </c>
      <c r="AB181" s="28" t="s">
        <v>8</v>
      </c>
      <c r="AC181" s="28" t="s">
        <v>8</v>
      </c>
      <c r="AD181" s="28" t="s">
        <v>8</v>
      </c>
      <c r="AE181" s="28" t="s">
        <v>8</v>
      </c>
      <c r="AF181" s="28" t="s">
        <v>8</v>
      </c>
      <c r="AG181" s="28" t="s">
        <v>8</v>
      </c>
      <c r="AH181" s="28" t="s">
        <v>8</v>
      </c>
      <c r="AI181" s="28" t="s">
        <v>8</v>
      </c>
      <c r="AJ181" s="28" t="s">
        <v>8</v>
      </c>
      <c r="AK181" s="28" t="s">
        <v>8</v>
      </c>
      <c r="AL181" s="28" t="s">
        <v>8</v>
      </c>
      <c r="AM181" s="28" t="s">
        <v>8</v>
      </c>
      <c r="AN181" s="28" t="s">
        <v>8</v>
      </c>
      <c r="AO181" s="28" t="s">
        <v>8</v>
      </c>
      <c r="AP181" s="28" t="s">
        <v>8</v>
      </c>
      <c r="AQ181" s="28" t="s">
        <v>8</v>
      </c>
      <c r="AR181" s="28" t="s">
        <v>8</v>
      </c>
      <c r="AS181" s="28" t="s">
        <v>8</v>
      </c>
      <c r="AT181" s="28" t="s">
        <v>8</v>
      </c>
      <c r="AU181" s="28" t="s">
        <v>8</v>
      </c>
      <c r="AV181" s="28" t="s">
        <v>8</v>
      </c>
      <c r="AW181" s="28" t="s">
        <v>8</v>
      </c>
    </row>
    <row r="182" spans="2:49">
      <c r="B182" s="1" t="s">
        <v>523</v>
      </c>
      <c r="C182" s="1" t="s">
        <v>524</v>
      </c>
      <c r="D182" s="1" t="s">
        <v>37</v>
      </c>
      <c r="E182" s="1" t="s">
        <v>525</v>
      </c>
      <c r="F182" s="28">
        <v>55</v>
      </c>
      <c r="G182" s="28">
        <v>55</v>
      </c>
      <c r="H182" s="28">
        <v>55</v>
      </c>
      <c r="I182" s="28">
        <v>55</v>
      </c>
      <c r="J182" s="28">
        <v>55</v>
      </c>
      <c r="K182" s="28">
        <v>55</v>
      </c>
      <c r="L182" s="28">
        <v>40</v>
      </c>
      <c r="M182" s="28">
        <v>35</v>
      </c>
      <c r="N182" s="28">
        <v>35</v>
      </c>
      <c r="O182" s="28">
        <v>35</v>
      </c>
      <c r="P182" s="28">
        <v>35</v>
      </c>
      <c r="Q182" s="28">
        <v>30</v>
      </c>
      <c r="R182" s="28">
        <v>30</v>
      </c>
      <c r="S182" s="28">
        <v>30</v>
      </c>
      <c r="T182" s="28">
        <v>30</v>
      </c>
      <c r="U182" s="28">
        <v>30</v>
      </c>
      <c r="V182" s="28">
        <v>30</v>
      </c>
      <c r="W182" s="28">
        <v>30</v>
      </c>
      <c r="X182" s="28">
        <v>30</v>
      </c>
      <c r="Y182" s="28">
        <v>30</v>
      </c>
      <c r="Z182" s="28">
        <v>30</v>
      </c>
      <c r="AA182" s="28">
        <v>30</v>
      </c>
      <c r="AB182" s="28">
        <v>30</v>
      </c>
      <c r="AC182" s="28">
        <v>27</v>
      </c>
      <c r="AD182" s="28">
        <v>30</v>
      </c>
      <c r="AE182" s="28">
        <v>30</v>
      </c>
      <c r="AF182" s="28">
        <v>30</v>
      </c>
      <c r="AG182" s="28">
        <v>30</v>
      </c>
      <c r="AH182" s="28">
        <v>30</v>
      </c>
      <c r="AI182" s="28">
        <v>30</v>
      </c>
      <c r="AJ182" s="28">
        <v>30</v>
      </c>
      <c r="AK182" s="28">
        <v>30</v>
      </c>
      <c r="AL182" s="28">
        <v>30</v>
      </c>
      <c r="AM182" s="28">
        <v>30</v>
      </c>
      <c r="AN182" s="28">
        <v>30</v>
      </c>
      <c r="AO182" s="28">
        <v>30</v>
      </c>
      <c r="AP182" s="28">
        <v>28</v>
      </c>
      <c r="AQ182" s="28">
        <v>29.5</v>
      </c>
      <c r="AR182" s="28">
        <v>29.5</v>
      </c>
      <c r="AS182" s="28">
        <v>29.5</v>
      </c>
      <c r="AT182" s="28">
        <v>29.5</v>
      </c>
      <c r="AU182" s="28">
        <v>29.5</v>
      </c>
      <c r="AV182" s="28">
        <v>29.5</v>
      </c>
      <c r="AW182" s="28">
        <v>29.5</v>
      </c>
    </row>
    <row r="183" spans="2:49">
      <c r="B183" s="1" t="s">
        <v>526</v>
      </c>
      <c r="C183" s="1" t="s">
        <v>527</v>
      </c>
      <c r="D183" s="1" t="s">
        <v>11</v>
      </c>
      <c r="E183" s="1" t="s">
        <v>528</v>
      </c>
      <c r="F183" s="28">
        <v>35</v>
      </c>
      <c r="G183" s="28">
        <v>35</v>
      </c>
      <c r="H183" s="28">
        <v>35</v>
      </c>
      <c r="I183" s="28">
        <v>35</v>
      </c>
      <c r="J183" s="28">
        <v>35</v>
      </c>
      <c r="K183" s="28">
        <v>35</v>
      </c>
      <c r="L183" s="28">
        <v>35</v>
      </c>
      <c r="M183" s="28">
        <v>35</v>
      </c>
      <c r="N183" s="28">
        <v>35</v>
      </c>
      <c r="O183" s="28">
        <v>35</v>
      </c>
      <c r="P183" s="28">
        <v>35</v>
      </c>
      <c r="Q183" s="28">
        <v>35</v>
      </c>
      <c r="R183" s="28">
        <v>35</v>
      </c>
      <c r="S183" s="28">
        <v>35</v>
      </c>
      <c r="T183" s="28">
        <v>35</v>
      </c>
      <c r="U183" s="28">
        <v>35</v>
      </c>
      <c r="V183" s="28">
        <v>35</v>
      </c>
      <c r="W183" s="28">
        <v>35</v>
      </c>
      <c r="X183" s="28">
        <v>34</v>
      </c>
      <c r="Y183" s="28">
        <v>33</v>
      </c>
      <c r="Z183" s="28">
        <v>32</v>
      </c>
      <c r="AA183" s="28">
        <v>32</v>
      </c>
      <c r="AB183" s="28">
        <v>32</v>
      </c>
      <c r="AC183" s="28">
        <v>32</v>
      </c>
      <c r="AD183" s="28">
        <v>32</v>
      </c>
      <c r="AE183" s="28">
        <v>32</v>
      </c>
      <c r="AF183" s="28">
        <v>35</v>
      </c>
      <c r="AG183" s="28">
        <v>35</v>
      </c>
      <c r="AH183" s="28">
        <v>35</v>
      </c>
      <c r="AI183" s="28">
        <v>30</v>
      </c>
      <c r="AJ183" s="28">
        <v>30</v>
      </c>
      <c r="AK183" s="28">
        <v>30</v>
      </c>
      <c r="AL183" s="28">
        <v>30</v>
      </c>
      <c r="AM183" s="28">
        <v>30</v>
      </c>
      <c r="AN183" s="28">
        <v>30</v>
      </c>
      <c r="AO183" s="28">
        <v>30</v>
      </c>
      <c r="AP183" s="28">
        <v>30</v>
      </c>
      <c r="AQ183" s="28">
        <v>30</v>
      </c>
      <c r="AR183" s="28">
        <v>30</v>
      </c>
      <c r="AS183" s="28">
        <v>30</v>
      </c>
      <c r="AT183" s="28">
        <v>30</v>
      </c>
      <c r="AU183" s="28">
        <v>25</v>
      </c>
      <c r="AV183" s="28">
        <v>25</v>
      </c>
      <c r="AW183" s="28">
        <v>25</v>
      </c>
    </row>
    <row r="184" spans="2:49">
      <c r="B184" s="1" t="s">
        <v>529</v>
      </c>
      <c r="C184" s="1" t="s">
        <v>530</v>
      </c>
      <c r="D184" s="1" t="s">
        <v>43</v>
      </c>
      <c r="E184" s="1" t="s">
        <v>531</v>
      </c>
      <c r="F184" s="28" t="s">
        <v>8</v>
      </c>
      <c r="G184" s="28" t="s">
        <v>8</v>
      </c>
      <c r="H184" s="28" t="s">
        <v>8</v>
      </c>
      <c r="I184" s="28" t="s">
        <v>8</v>
      </c>
      <c r="J184" s="28" t="s">
        <v>8</v>
      </c>
      <c r="K184" s="28" t="s">
        <v>8</v>
      </c>
      <c r="L184" s="28" t="s">
        <v>8</v>
      </c>
      <c r="M184" s="28" t="s">
        <v>8</v>
      </c>
      <c r="N184" s="28" t="s">
        <v>8</v>
      </c>
      <c r="O184" s="28" t="s">
        <v>8</v>
      </c>
      <c r="P184" s="28" t="s">
        <v>8</v>
      </c>
      <c r="Q184" s="28" t="s">
        <v>8</v>
      </c>
      <c r="R184" s="28" t="s">
        <v>8</v>
      </c>
      <c r="S184" s="28" t="s">
        <v>8</v>
      </c>
      <c r="T184" s="28" t="s">
        <v>8</v>
      </c>
      <c r="U184" s="28" t="s">
        <v>8</v>
      </c>
      <c r="V184" s="28" t="s">
        <v>8</v>
      </c>
      <c r="W184" s="28" t="s">
        <v>8</v>
      </c>
      <c r="X184" s="28" t="s">
        <v>8</v>
      </c>
      <c r="Y184" s="28" t="s">
        <v>8</v>
      </c>
      <c r="Z184" s="28" t="s">
        <v>8</v>
      </c>
      <c r="AA184" s="28" t="s">
        <v>8</v>
      </c>
      <c r="AB184" s="28" t="s">
        <v>8</v>
      </c>
      <c r="AC184" s="28" t="s">
        <v>8</v>
      </c>
      <c r="AD184" s="28" t="s">
        <v>8</v>
      </c>
      <c r="AE184" s="28" t="s">
        <v>8</v>
      </c>
      <c r="AF184" s="28" t="s">
        <v>8</v>
      </c>
      <c r="AG184" s="28" t="s">
        <v>8</v>
      </c>
      <c r="AH184" s="28" t="s">
        <v>8</v>
      </c>
      <c r="AI184" s="28" t="s">
        <v>8</v>
      </c>
      <c r="AJ184" s="28" t="s">
        <v>8</v>
      </c>
      <c r="AK184" s="28" t="s">
        <v>8</v>
      </c>
      <c r="AL184" s="28" t="s">
        <v>8</v>
      </c>
      <c r="AM184" s="28" t="s">
        <v>8</v>
      </c>
      <c r="AN184" s="28" t="s">
        <v>8</v>
      </c>
      <c r="AO184" s="28" t="s">
        <v>8</v>
      </c>
      <c r="AP184" s="28" t="s">
        <v>8</v>
      </c>
      <c r="AQ184" s="28" t="s">
        <v>8</v>
      </c>
      <c r="AR184" s="28" t="s">
        <v>8</v>
      </c>
      <c r="AS184" s="28" t="s">
        <v>8</v>
      </c>
      <c r="AT184" s="28" t="s">
        <v>8</v>
      </c>
      <c r="AU184" s="28" t="s">
        <v>8</v>
      </c>
      <c r="AV184" s="28" t="s">
        <v>8</v>
      </c>
      <c r="AW184" s="28" t="s">
        <v>8</v>
      </c>
    </row>
    <row r="185" spans="2:49">
      <c r="B185" s="1" t="s">
        <v>532</v>
      </c>
      <c r="C185" s="1" t="s">
        <v>533</v>
      </c>
      <c r="D185" s="1" t="s">
        <v>43</v>
      </c>
      <c r="E185" s="1" t="s">
        <v>534</v>
      </c>
      <c r="F185" s="28">
        <v>36.5</v>
      </c>
      <c r="G185" s="28">
        <v>36.5</v>
      </c>
      <c r="H185" s="28">
        <v>36.5</v>
      </c>
      <c r="I185" s="28">
        <v>36.5</v>
      </c>
      <c r="J185" s="28">
        <v>35</v>
      </c>
      <c r="K185" s="28">
        <v>35</v>
      </c>
      <c r="L185" s="28">
        <v>35</v>
      </c>
      <c r="M185" s="28">
        <v>35</v>
      </c>
      <c r="N185" s="28">
        <v>35</v>
      </c>
      <c r="O185" s="28">
        <v>30</v>
      </c>
      <c r="P185" s="28">
        <v>30</v>
      </c>
      <c r="Q185" s="28">
        <v>30</v>
      </c>
      <c r="R185" s="28">
        <v>30</v>
      </c>
      <c r="S185" s="28">
        <v>25</v>
      </c>
      <c r="T185" s="28">
        <v>25</v>
      </c>
      <c r="U185" s="28">
        <v>25</v>
      </c>
      <c r="V185" s="28">
        <v>25</v>
      </c>
      <c r="W185" s="28">
        <v>25</v>
      </c>
      <c r="X185" s="28">
        <v>25</v>
      </c>
      <c r="Y185" s="28">
        <v>25</v>
      </c>
      <c r="Z185" s="28">
        <v>25</v>
      </c>
      <c r="AA185" s="28">
        <v>25</v>
      </c>
      <c r="AB185" s="28">
        <v>25</v>
      </c>
      <c r="AC185" s="28">
        <v>30</v>
      </c>
      <c r="AD185" s="28">
        <v>30</v>
      </c>
      <c r="AE185" s="28">
        <v>30</v>
      </c>
      <c r="AF185" s="28">
        <v>30</v>
      </c>
      <c r="AG185" s="28">
        <v>30</v>
      </c>
      <c r="AH185" s="28">
        <v>30</v>
      </c>
      <c r="AI185" s="28">
        <v>30</v>
      </c>
      <c r="AJ185" s="28">
        <v>30</v>
      </c>
      <c r="AK185" s="28">
        <v>30</v>
      </c>
      <c r="AL185" s="28">
        <v>30</v>
      </c>
      <c r="AM185" s="28">
        <v>30</v>
      </c>
      <c r="AN185" s="28">
        <v>30</v>
      </c>
      <c r="AO185" s="28">
        <v>30</v>
      </c>
      <c r="AP185" s="28">
        <v>30</v>
      </c>
      <c r="AQ185" s="28">
        <v>30</v>
      </c>
      <c r="AR185" s="28">
        <v>30</v>
      </c>
      <c r="AS185" s="28">
        <v>30</v>
      </c>
      <c r="AT185" s="28">
        <v>30</v>
      </c>
      <c r="AU185" s="28">
        <v>30</v>
      </c>
      <c r="AV185" s="28">
        <v>30</v>
      </c>
      <c r="AW185" s="28">
        <v>30</v>
      </c>
    </row>
    <row r="186" spans="2:49">
      <c r="B186" s="1" t="s">
        <v>535</v>
      </c>
      <c r="C186" s="1" t="s">
        <v>536</v>
      </c>
      <c r="D186" s="1" t="s">
        <v>21</v>
      </c>
      <c r="E186" s="1" t="s">
        <v>537</v>
      </c>
      <c r="F186" s="28" t="s">
        <v>8</v>
      </c>
      <c r="G186" s="28" t="s">
        <v>8</v>
      </c>
      <c r="H186" s="28" t="s">
        <v>8</v>
      </c>
      <c r="I186" s="28" t="s">
        <v>8</v>
      </c>
      <c r="J186" s="28" t="s">
        <v>8</v>
      </c>
      <c r="K186" s="28" t="s">
        <v>8</v>
      </c>
      <c r="L186" s="28" t="s">
        <v>8</v>
      </c>
      <c r="M186" s="28" t="s">
        <v>8</v>
      </c>
      <c r="N186" s="28" t="s">
        <v>8</v>
      </c>
      <c r="O186" s="28" t="s">
        <v>8</v>
      </c>
      <c r="P186" s="28" t="s">
        <v>8</v>
      </c>
      <c r="Q186" s="28">
        <v>40</v>
      </c>
      <c r="R186" s="28">
        <v>40</v>
      </c>
      <c r="S186" s="28">
        <v>40</v>
      </c>
      <c r="T186" s="28">
        <v>40</v>
      </c>
      <c r="U186" s="28">
        <v>40</v>
      </c>
      <c r="V186" s="28">
        <v>40</v>
      </c>
      <c r="W186" s="28">
        <v>38</v>
      </c>
      <c r="X186" s="28">
        <v>36</v>
      </c>
      <c r="Y186" s="28">
        <v>34</v>
      </c>
      <c r="Z186" s="28">
        <v>30</v>
      </c>
      <c r="AA186" s="28">
        <v>28</v>
      </c>
      <c r="AB186" s="28">
        <v>28</v>
      </c>
      <c r="AC186" s="28">
        <v>27</v>
      </c>
      <c r="AD186" s="28">
        <v>19</v>
      </c>
      <c r="AE186" s="28">
        <v>19</v>
      </c>
      <c r="AF186" s="28">
        <v>19</v>
      </c>
      <c r="AG186" s="28">
        <v>19</v>
      </c>
      <c r="AH186" s="28">
        <v>19</v>
      </c>
      <c r="AI186" s="28">
        <v>19</v>
      </c>
      <c r="AJ186" s="28">
        <v>19</v>
      </c>
      <c r="AK186" s="28">
        <v>19</v>
      </c>
      <c r="AL186" s="28">
        <v>19</v>
      </c>
      <c r="AM186" s="28">
        <v>19</v>
      </c>
      <c r="AN186" s="28">
        <v>19</v>
      </c>
      <c r="AO186" s="28">
        <v>19</v>
      </c>
      <c r="AP186" s="28">
        <v>19</v>
      </c>
      <c r="AQ186" s="28">
        <v>19</v>
      </c>
      <c r="AR186" s="28">
        <v>19</v>
      </c>
      <c r="AS186" s="28">
        <v>19</v>
      </c>
      <c r="AT186" s="28">
        <v>19</v>
      </c>
      <c r="AU186" s="28">
        <v>19</v>
      </c>
      <c r="AV186" s="28">
        <v>19</v>
      </c>
      <c r="AW186" s="28">
        <v>19</v>
      </c>
    </row>
    <row r="187" spans="2:49">
      <c r="B187" s="1" t="s">
        <v>538</v>
      </c>
      <c r="C187" s="1" t="s">
        <v>539</v>
      </c>
      <c r="D187" s="1" t="s">
        <v>6</v>
      </c>
      <c r="E187" s="1" t="s">
        <v>540</v>
      </c>
      <c r="F187" s="28">
        <v>22</v>
      </c>
      <c r="G187" s="28">
        <v>22</v>
      </c>
      <c r="H187" s="28">
        <v>20</v>
      </c>
      <c r="I187" s="28">
        <v>22</v>
      </c>
      <c r="J187" s="28">
        <v>22</v>
      </c>
      <c r="K187" s="28">
        <v>22</v>
      </c>
      <c r="L187" s="28">
        <v>22</v>
      </c>
      <c r="M187" s="28">
        <v>22</v>
      </c>
      <c r="N187" s="28">
        <v>22</v>
      </c>
      <c r="O187" s="28">
        <v>22</v>
      </c>
      <c r="P187" s="28">
        <v>22</v>
      </c>
      <c r="Q187" s="28">
        <v>22</v>
      </c>
      <c r="R187" s="28">
        <v>22</v>
      </c>
      <c r="S187" s="28">
        <v>22</v>
      </c>
      <c r="T187" s="28">
        <v>22</v>
      </c>
      <c r="U187" s="28">
        <v>19</v>
      </c>
      <c r="V187" s="28">
        <v>20</v>
      </c>
      <c r="W187" s="28">
        <v>20</v>
      </c>
      <c r="X187" s="28">
        <v>20</v>
      </c>
      <c r="Y187" s="28">
        <v>20</v>
      </c>
      <c r="Z187" s="28" t="s">
        <v>8</v>
      </c>
      <c r="AA187" s="28">
        <v>39</v>
      </c>
      <c r="AB187" s="28">
        <v>39</v>
      </c>
      <c r="AC187" s="28" t="s">
        <v>8</v>
      </c>
      <c r="AD187" s="28">
        <v>39</v>
      </c>
      <c r="AE187" s="28">
        <v>39</v>
      </c>
      <c r="AF187" s="28">
        <v>39</v>
      </c>
      <c r="AG187" s="28">
        <v>39</v>
      </c>
      <c r="AH187" s="28">
        <v>39</v>
      </c>
      <c r="AI187" s="28">
        <v>39</v>
      </c>
      <c r="AJ187" s="28">
        <v>39</v>
      </c>
      <c r="AK187" s="28">
        <v>39</v>
      </c>
      <c r="AL187" s="28">
        <v>30</v>
      </c>
      <c r="AM187" s="28">
        <v>30</v>
      </c>
      <c r="AN187" s="28">
        <v>39</v>
      </c>
      <c r="AO187" s="28">
        <v>39</v>
      </c>
      <c r="AP187" s="28">
        <v>39</v>
      </c>
      <c r="AQ187" s="28">
        <v>39</v>
      </c>
      <c r="AR187" s="28">
        <v>39</v>
      </c>
      <c r="AS187" s="28">
        <v>37.5</v>
      </c>
      <c r="AT187" s="28">
        <v>37.5</v>
      </c>
      <c r="AU187" s="28">
        <v>37.5</v>
      </c>
      <c r="AV187" s="28">
        <v>37.5</v>
      </c>
      <c r="AW187" s="28">
        <v>37.5</v>
      </c>
    </row>
    <row r="188" spans="2:49">
      <c r="B188" s="1" t="s">
        <v>541</v>
      </c>
      <c r="C188" s="1" t="s">
        <v>542</v>
      </c>
      <c r="D188" s="1" t="s">
        <v>11</v>
      </c>
      <c r="E188" s="1" t="s">
        <v>543</v>
      </c>
      <c r="F188" s="28" t="s">
        <v>8</v>
      </c>
      <c r="G188" s="28" t="s">
        <v>8</v>
      </c>
      <c r="H188" s="28" t="s">
        <v>8</v>
      </c>
      <c r="I188" s="28" t="s">
        <v>8</v>
      </c>
      <c r="J188" s="28" t="s">
        <v>8</v>
      </c>
      <c r="K188" s="28" t="s">
        <v>8</v>
      </c>
      <c r="L188" s="28" t="s">
        <v>8</v>
      </c>
      <c r="M188" s="28" t="s">
        <v>8</v>
      </c>
      <c r="N188" s="28" t="s">
        <v>8</v>
      </c>
      <c r="O188" s="28" t="s">
        <v>8</v>
      </c>
      <c r="P188" s="28" t="s">
        <v>8</v>
      </c>
      <c r="Q188" s="28" t="s">
        <v>8</v>
      </c>
      <c r="R188" s="28" t="s">
        <v>8</v>
      </c>
      <c r="S188" s="28" t="s">
        <v>8</v>
      </c>
      <c r="T188" s="28" t="s">
        <v>8</v>
      </c>
      <c r="U188" s="28" t="s">
        <v>8</v>
      </c>
      <c r="V188" s="28" t="s">
        <v>8</v>
      </c>
      <c r="W188" s="28" t="s">
        <v>8</v>
      </c>
      <c r="X188" s="28" t="s">
        <v>8</v>
      </c>
      <c r="Y188" s="28" t="s">
        <v>8</v>
      </c>
      <c r="Z188" s="28" t="s">
        <v>8</v>
      </c>
      <c r="AA188" s="28" t="s">
        <v>8</v>
      </c>
      <c r="AB188" s="28" t="s">
        <v>8</v>
      </c>
      <c r="AC188" s="28" t="s">
        <v>8</v>
      </c>
      <c r="AD188" s="28" t="s">
        <v>8</v>
      </c>
      <c r="AE188" s="28" t="s">
        <v>8</v>
      </c>
      <c r="AF188" s="28" t="s">
        <v>8</v>
      </c>
      <c r="AG188" s="28" t="s">
        <v>8</v>
      </c>
      <c r="AH188" s="28" t="s">
        <v>8</v>
      </c>
      <c r="AI188" s="28" t="s">
        <v>8</v>
      </c>
      <c r="AJ188" s="28" t="s">
        <v>8</v>
      </c>
      <c r="AK188" s="28" t="s">
        <v>8</v>
      </c>
      <c r="AL188" s="28" t="s">
        <v>8</v>
      </c>
      <c r="AM188" s="28" t="s">
        <v>8</v>
      </c>
      <c r="AN188" s="28" t="s">
        <v>8</v>
      </c>
      <c r="AO188" s="28" t="s">
        <v>8</v>
      </c>
      <c r="AP188" s="28" t="s">
        <v>8</v>
      </c>
      <c r="AQ188" s="28" t="s">
        <v>8</v>
      </c>
      <c r="AR188" s="28" t="s">
        <v>8</v>
      </c>
      <c r="AS188" s="28" t="s">
        <v>8</v>
      </c>
      <c r="AT188" s="28" t="s">
        <v>8</v>
      </c>
      <c r="AU188" s="28" t="s">
        <v>8</v>
      </c>
      <c r="AV188" s="28" t="s">
        <v>8</v>
      </c>
      <c r="AW188" s="28" t="s">
        <v>8</v>
      </c>
    </row>
    <row r="189" spans="2:49">
      <c r="B189" s="1" t="s">
        <v>544</v>
      </c>
      <c r="C189" s="1" t="s">
        <v>545</v>
      </c>
      <c r="D189" s="1" t="s">
        <v>21</v>
      </c>
      <c r="E189" s="1" t="s">
        <v>546</v>
      </c>
      <c r="F189" s="28" t="s">
        <v>8</v>
      </c>
      <c r="G189" s="28">
        <v>48.96</v>
      </c>
      <c r="H189" s="28">
        <v>50.72</v>
      </c>
      <c r="I189" s="28">
        <v>55.12</v>
      </c>
      <c r="J189" s="28">
        <v>55.12</v>
      </c>
      <c r="K189" s="28">
        <v>55.12</v>
      </c>
      <c r="L189" s="28">
        <v>50.28</v>
      </c>
      <c r="M189" s="28">
        <v>48.08</v>
      </c>
      <c r="N189" s="28">
        <v>48.08</v>
      </c>
      <c r="O189" s="28">
        <v>40.15</v>
      </c>
      <c r="P189" s="28">
        <v>40.15</v>
      </c>
      <c r="Q189" s="28">
        <v>39.6</v>
      </c>
      <c r="R189" s="28">
        <v>39.6</v>
      </c>
      <c r="S189" s="28">
        <v>39.6</v>
      </c>
      <c r="T189" s="28">
        <v>39.6</v>
      </c>
      <c r="U189" s="28">
        <v>39.6</v>
      </c>
      <c r="V189" s="28">
        <v>39.6</v>
      </c>
      <c r="W189" s="28">
        <v>37.4</v>
      </c>
      <c r="X189" s="28">
        <v>37.4</v>
      </c>
      <c r="Y189" s="28">
        <v>37.4</v>
      </c>
      <c r="Z189" s="28">
        <v>35.200000000000003</v>
      </c>
      <c r="AA189" s="28">
        <v>35.200000000000003</v>
      </c>
      <c r="AB189" s="28">
        <v>33</v>
      </c>
      <c r="AC189" s="28">
        <v>33</v>
      </c>
      <c r="AD189" s="28">
        <v>27.5</v>
      </c>
      <c r="AE189" s="28">
        <v>27.5</v>
      </c>
      <c r="AF189" s="28">
        <v>27.5</v>
      </c>
      <c r="AG189" s="28">
        <v>26.5</v>
      </c>
      <c r="AH189" s="28">
        <v>26.5</v>
      </c>
      <c r="AI189" s="28">
        <v>26.5</v>
      </c>
      <c r="AJ189" s="28">
        <v>26.5</v>
      </c>
      <c r="AK189" s="28">
        <v>28.5</v>
      </c>
      <c r="AL189" s="28">
        <v>31.5</v>
      </c>
      <c r="AM189" s="28">
        <v>31.5</v>
      </c>
      <c r="AN189" s="28">
        <v>31.5</v>
      </c>
      <c r="AO189" s="28">
        <v>29.5</v>
      </c>
      <c r="AP189" s="28">
        <v>29.5</v>
      </c>
      <c r="AQ189" s="28">
        <v>29.5</v>
      </c>
      <c r="AR189" s="28">
        <v>31.5</v>
      </c>
      <c r="AS189" s="28">
        <v>31.5</v>
      </c>
      <c r="AT189" s="28">
        <v>31.5</v>
      </c>
      <c r="AU189" s="28">
        <v>31.5</v>
      </c>
      <c r="AV189" s="28">
        <v>31.5</v>
      </c>
      <c r="AW189" s="28">
        <v>31.5</v>
      </c>
    </row>
    <row r="190" spans="2:49">
      <c r="B190" s="1" t="s">
        <v>547</v>
      </c>
      <c r="C190" s="1" t="s">
        <v>548</v>
      </c>
      <c r="D190" s="1" t="s">
        <v>37</v>
      </c>
      <c r="E190" s="1" t="s">
        <v>549</v>
      </c>
      <c r="F190" s="28">
        <v>30</v>
      </c>
      <c r="G190" s="28">
        <v>30</v>
      </c>
      <c r="H190" s="28">
        <v>30</v>
      </c>
      <c r="I190" s="28">
        <v>30</v>
      </c>
      <c r="J190" s="28">
        <v>30</v>
      </c>
      <c r="K190" s="28">
        <v>30</v>
      </c>
      <c r="L190" s="28">
        <v>30</v>
      </c>
      <c r="M190" s="28">
        <v>30</v>
      </c>
      <c r="N190" s="28">
        <v>30</v>
      </c>
      <c r="O190" s="28">
        <v>30</v>
      </c>
      <c r="P190" s="28">
        <v>30</v>
      </c>
      <c r="Q190" s="28">
        <v>30</v>
      </c>
      <c r="R190" s="28">
        <v>30</v>
      </c>
      <c r="S190" s="28">
        <v>30</v>
      </c>
      <c r="T190" s="28">
        <v>30</v>
      </c>
      <c r="U190" s="28">
        <v>30</v>
      </c>
      <c r="V190" s="28">
        <v>30</v>
      </c>
      <c r="W190" s="28">
        <v>30</v>
      </c>
      <c r="X190" s="28">
        <v>30</v>
      </c>
      <c r="Y190" s="28">
        <v>30</v>
      </c>
      <c r="Z190" s="28">
        <v>30</v>
      </c>
      <c r="AA190" s="28">
        <v>30</v>
      </c>
      <c r="AB190" s="28">
        <v>30</v>
      </c>
      <c r="AC190" s="28">
        <v>30</v>
      </c>
      <c r="AD190" s="28">
        <v>30</v>
      </c>
      <c r="AE190" s="28">
        <v>20</v>
      </c>
      <c r="AF190" s="28">
        <v>10</v>
      </c>
      <c r="AG190" s="28">
        <v>10</v>
      </c>
      <c r="AH190" s="28">
        <v>10</v>
      </c>
      <c r="AI190" s="28">
        <v>10</v>
      </c>
      <c r="AJ190" s="28">
        <v>10</v>
      </c>
      <c r="AK190" s="28">
        <v>10</v>
      </c>
      <c r="AL190" s="28">
        <v>10</v>
      </c>
      <c r="AM190" s="28">
        <v>10</v>
      </c>
      <c r="AN190" s="28">
        <v>10</v>
      </c>
      <c r="AO190" s="28">
        <v>10</v>
      </c>
      <c r="AP190" s="28">
        <v>10</v>
      </c>
      <c r="AQ190" s="28">
        <v>10</v>
      </c>
      <c r="AR190" s="28">
        <v>10</v>
      </c>
      <c r="AS190" s="28">
        <v>10</v>
      </c>
      <c r="AT190" s="28">
        <v>10</v>
      </c>
      <c r="AU190" s="28">
        <v>10</v>
      </c>
      <c r="AV190" s="28">
        <v>10</v>
      </c>
      <c r="AW190" s="28">
        <v>10</v>
      </c>
    </row>
    <row r="191" spans="2:49">
      <c r="B191" s="1" t="s">
        <v>550</v>
      </c>
      <c r="C191" s="1" t="s">
        <v>551</v>
      </c>
      <c r="D191" s="1" t="s">
        <v>11</v>
      </c>
      <c r="E191" s="1" t="s">
        <v>552</v>
      </c>
      <c r="F191" s="28" t="s">
        <v>8</v>
      </c>
      <c r="G191" s="28" t="s">
        <v>8</v>
      </c>
      <c r="H191" s="28" t="s">
        <v>8</v>
      </c>
      <c r="I191" s="28" t="s">
        <v>8</v>
      </c>
      <c r="J191" s="28" t="s">
        <v>8</v>
      </c>
      <c r="K191" s="28" t="s">
        <v>8</v>
      </c>
      <c r="L191" s="28" t="s">
        <v>8</v>
      </c>
      <c r="M191" s="28" t="s">
        <v>8</v>
      </c>
      <c r="N191" s="28" t="s">
        <v>8</v>
      </c>
      <c r="O191" s="28" t="s">
        <v>8</v>
      </c>
      <c r="P191" s="28" t="s">
        <v>8</v>
      </c>
      <c r="Q191" s="28" t="s">
        <v>8</v>
      </c>
      <c r="R191" s="28" t="s">
        <v>8</v>
      </c>
      <c r="S191" s="28" t="s">
        <v>8</v>
      </c>
      <c r="T191" s="28" t="s">
        <v>8</v>
      </c>
      <c r="U191" s="28" t="s">
        <v>8</v>
      </c>
      <c r="V191" s="28" t="s">
        <v>8</v>
      </c>
      <c r="W191" s="28" t="s">
        <v>8</v>
      </c>
      <c r="X191" s="28" t="s">
        <v>8</v>
      </c>
      <c r="Y191" s="28" t="s">
        <v>8</v>
      </c>
      <c r="Z191" s="28" t="s">
        <v>8</v>
      </c>
      <c r="AA191" s="28" t="s">
        <v>8</v>
      </c>
      <c r="AB191" s="28" t="s">
        <v>8</v>
      </c>
      <c r="AC191" s="28" t="s">
        <v>8</v>
      </c>
      <c r="AD191" s="28">
        <v>20</v>
      </c>
      <c r="AE191" s="28">
        <v>20</v>
      </c>
      <c r="AF191" s="28">
        <v>15</v>
      </c>
      <c r="AG191" s="28">
        <v>15</v>
      </c>
      <c r="AH191" s="28">
        <v>15</v>
      </c>
      <c r="AI191" s="28">
        <v>15</v>
      </c>
      <c r="AJ191" s="28">
        <v>15</v>
      </c>
      <c r="AK191" s="28">
        <v>15</v>
      </c>
      <c r="AL191" s="28">
        <v>15</v>
      </c>
      <c r="AM191" s="28">
        <v>15</v>
      </c>
      <c r="AN191" s="28">
        <v>15</v>
      </c>
      <c r="AO191" s="28">
        <v>15</v>
      </c>
      <c r="AP191" s="28">
        <v>15</v>
      </c>
      <c r="AQ191" s="28">
        <v>15</v>
      </c>
      <c r="AR191" s="28">
        <v>15</v>
      </c>
      <c r="AS191" s="28">
        <v>15</v>
      </c>
      <c r="AT191" s="28">
        <v>15</v>
      </c>
      <c r="AU191" s="28">
        <v>15</v>
      </c>
      <c r="AV191" s="28">
        <v>15</v>
      </c>
      <c r="AW191" s="28">
        <v>15</v>
      </c>
    </row>
    <row r="192" spans="2:49">
      <c r="B192" s="1" t="s">
        <v>553</v>
      </c>
      <c r="C192" s="1" t="s">
        <v>554</v>
      </c>
      <c r="D192" s="1" t="s">
        <v>43</v>
      </c>
      <c r="E192" s="1" t="s">
        <v>555</v>
      </c>
      <c r="F192" s="28" t="s">
        <v>8</v>
      </c>
      <c r="G192" s="28" t="s">
        <v>8</v>
      </c>
      <c r="H192" s="28" t="s">
        <v>8</v>
      </c>
      <c r="I192" s="28" t="s">
        <v>8</v>
      </c>
      <c r="J192" s="28" t="s">
        <v>8</v>
      </c>
      <c r="K192" s="28" t="s">
        <v>8</v>
      </c>
      <c r="L192" s="28" t="s">
        <v>8</v>
      </c>
      <c r="M192" s="28" t="s">
        <v>8</v>
      </c>
      <c r="N192" s="28" t="s">
        <v>8</v>
      </c>
      <c r="O192" s="28" t="s">
        <v>8</v>
      </c>
      <c r="P192" s="28" t="s">
        <v>8</v>
      </c>
      <c r="Q192" s="28" t="s">
        <v>8</v>
      </c>
      <c r="R192" s="28" t="s">
        <v>8</v>
      </c>
      <c r="S192" s="28" t="s">
        <v>8</v>
      </c>
      <c r="T192" s="28" t="s">
        <v>8</v>
      </c>
      <c r="U192" s="28" t="s">
        <v>8</v>
      </c>
      <c r="V192" s="28" t="s">
        <v>8</v>
      </c>
      <c r="W192" s="28" t="s">
        <v>8</v>
      </c>
      <c r="X192" s="28">
        <v>45</v>
      </c>
      <c r="Y192" s="28" t="s">
        <v>8</v>
      </c>
      <c r="Z192" s="28" t="s">
        <v>8</v>
      </c>
      <c r="AA192" s="28" t="s">
        <v>8</v>
      </c>
      <c r="AB192" s="28" t="s">
        <v>8</v>
      </c>
      <c r="AC192" s="28" t="s">
        <v>8</v>
      </c>
      <c r="AD192" s="28" t="s">
        <v>8</v>
      </c>
      <c r="AE192" s="28" t="s">
        <v>8</v>
      </c>
      <c r="AF192" s="28" t="s">
        <v>8</v>
      </c>
      <c r="AG192" s="28" t="s">
        <v>8</v>
      </c>
      <c r="AH192" s="28" t="s">
        <v>8</v>
      </c>
      <c r="AI192" s="28" t="s">
        <v>8</v>
      </c>
      <c r="AJ192" s="28" t="s">
        <v>8</v>
      </c>
      <c r="AK192" s="28" t="s">
        <v>8</v>
      </c>
      <c r="AL192" s="28" t="s">
        <v>8</v>
      </c>
      <c r="AM192" s="28" t="s">
        <v>8</v>
      </c>
      <c r="AN192" s="28" t="s">
        <v>8</v>
      </c>
      <c r="AO192" s="28" t="s">
        <v>8</v>
      </c>
      <c r="AP192" s="28" t="s">
        <v>8</v>
      </c>
      <c r="AQ192" s="28">
        <v>28</v>
      </c>
      <c r="AR192" s="28">
        <v>27</v>
      </c>
      <c r="AS192" s="28">
        <v>27</v>
      </c>
      <c r="AT192" s="28">
        <v>27</v>
      </c>
      <c r="AU192" s="28">
        <v>27</v>
      </c>
      <c r="AV192" s="28">
        <v>25</v>
      </c>
      <c r="AW192" s="28">
        <v>25</v>
      </c>
    </row>
    <row r="193" spans="2:49">
      <c r="B193" s="1" t="s">
        <v>556</v>
      </c>
      <c r="C193" s="1" t="s">
        <v>557</v>
      </c>
      <c r="D193" s="1" t="s">
        <v>11</v>
      </c>
      <c r="E193" s="1" t="s">
        <v>558</v>
      </c>
      <c r="F193" s="28" t="s">
        <v>8</v>
      </c>
      <c r="G193" s="28" t="s">
        <v>8</v>
      </c>
      <c r="H193" s="28">
        <v>50</v>
      </c>
      <c r="I193" s="28">
        <v>50</v>
      </c>
      <c r="J193" s="28">
        <v>50</v>
      </c>
      <c r="K193" s="28">
        <v>50</v>
      </c>
      <c r="L193" s="28">
        <v>50</v>
      </c>
      <c r="M193" s="28">
        <v>50</v>
      </c>
      <c r="N193" s="28">
        <v>50</v>
      </c>
      <c r="O193" s="28">
        <v>50</v>
      </c>
      <c r="P193" s="28">
        <v>50</v>
      </c>
      <c r="Q193" s="28">
        <v>50</v>
      </c>
      <c r="R193" s="28">
        <v>50</v>
      </c>
      <c r="S193" s="28">
        <v>50</v>
      </c>
      <c r="T193" s="28">
        <v>35</v>
      </c>
      <c r="U193" s="28">
        <v>35</v>
      </c>
      <c r="V193" s="28">
        <v>35</v>
      </c>
      <c r="W193" s="28">
        <v>35</v>
      </c>
      <c r="X193" s="28">
        <v>35</v>
      </c>
      <c r="Y193" s="28">
        <v>35</v>
      </c>
      <c r="Z193" s="28">
        <v>35</v>
      </c>
      <c r="AA193" s="28">
        <v>35</v>
      </c>
      <c r="AB193" s="28">
        <v>35</v>
      </c>
      <c r="AC193" s="28">
        <v>35</v>
      </c>
      <c r="AD193" s="28">
        <v>35</v>
      </c>
      <c r="AE193" s="28">
        <v>35</v>
      </c>
      <c r="AF193" s="28">
        <v>35</v>
      </c>
      <c r="AG193" s="28">
        <v>35</v>
      </c>
      <c r="AH193" s="28">
        <v>35</v>
      </c>
      <c r="AI193" s="28">
        <v>35</v>
      </c>
      <c r="AJ193" s="28">
        <v>10</v>
      </c>
      <c r="AK193" s="28">
        <v>10</v>
      </c>
      <c r="AL193" s="28">
        <v>10</v>
      </c>
      <c r="AM193" s="28">
        <v>10</v>
      </c>
      <c r="AN193" s="28">
        <v>10</v>
      </c>
      <c r="AO193" s="28">
        <v>10</v>
      </c>
      <c r="AP193" s="28">
        <v>10</v>
      </c>
      <c r="AQ193" s="28">
        <v>10</v>
      </c>
      <c r="AR193" s="28">
        <v>10</v>
      </c>
      <c r="AS193" s="28">
        <v>10</v>
      </c>
      <c r="AT193" s="28">
        <v>10</v>
      </c>
      <c r="AU193" s="28">
        <v>10</v>
      </c>
      <c r="AV193" s="28">
        <v>10</v>
      </c>
      <c r="AW193" s="28">
        <v>10</v>
      </c>
    </row>
    <row r="194" spans="2:49">
      <c r="B194" s="1" t="s">
        <v>559</v>
      </c>
      <c r="C194" s="1" t="s">
        <v>560</v>
      </c>
      <c r="D194" s="1" t="s">
        <v>9</v>
      </c>
      <c r="E194" s="1" t="s">
        <v>561</v>
      </c>
      <c r="F194" s="28" t="s">
        <v>8</v>
      </c>
      <c r="G194" s="28" t="s">
        <v>8</v>
      </c>
      <c r="H194" s="28" t="s">
        <v>8</v>
      </c>
      <c r="I194" s="28" t="s">
        <v>8</v>
      </c>
      <c r="J194" s="28" t="s">
        <v>8</v>
      </c>
      <c r="K194" s="28" t="s">
        <v>8</v>
      </c>
      <c r="L194" s="28" t="s">
        <v>8</v>
      </c>
      <c r="M194" s="28" t="s">
        <v>8</v>
      </c>
      <c r="N194" s="28" t="s">
        <v>8</v>
      </c>
      <c r="O194" s="28" t="s">
        <v>8</v>
      </c>
      <c r="P194" s="28" t="s">
        <v>8</v>
      </c>
      <c r="Q194" s="28" t="s">
        <v>8</v>
      </c>
      <c r="R194" s="28" t="s">
        <v>8</v>
      </c>
      <c r="S194" s="28" t="s">
        <v>8</v>
      </c>
      <c r="T194" s="28" t="s">
        <v>8</v>
      </c>
      <c r="U194" s="28" t="s">
        <v>8</v>
      </c>
      <c r="V194" s="28" t="s">
        <v>8</v>
      </c>
      <c r="W194" s="28" t="s">
        <v>8</v>
      </c>
      <c r="X194" s="28" t="s">
        <v>8</v>
      </c>
      <c r="Y194" s="28" t="s">
        <v>8</v>
      </c>
      <c r="Z194" s="28" t="s">
        <v>8</v>
      </c>
      <c r="AA194" s="28" t="s">
        <v>8</v>
      </c>
      <c r="AB194" s="28" t="s">
        <v>8</v>
      </c>
      <c r="AC194" s="28" t="s">
        <v>8</v>
      </c>
      <c r="AD194" s="28" t="s">
        <v>8</v>
      </c>
      <c r="AE194" s="28" t="s">
        <v>8</v>
      </c>
      <c r="AF194" s="28" t="s">
        <v>8</v>
      </c>
      <c r="AG194" s="28" t="s">
        <v>8</v>
      </c>
      <c r="AH194" s="28" t="s">
        <v>8</v>
      </c>
      <c r="AI194" s="28" t="s">
        <v>8</v>
      </c>
      <c r="AJ194" s="28" t="s">
        <v>8</v>
      </c>
      <c r="AK194" s="28" t="s">
        <v>8</v>
      </c>
      <c r="AL194" s="28" t="s">
        <v>8</v>
      </c>
      <c r="AM194" s="28" t="s">
        <v>8</v>
      </c>
      <c r="AN194" s="28" t="s">
        <v>8</v>
      </c>
      <c r="AO194" s="28" t="s">
        <v>8</v>
      </c>
      <c r="AP194" s="28" t="s">
        <v>8</v>
      </c>
      <c r="AQ194" s="28" t="s">
        <v>8</v>
      </c>
      <c r="AR194" s="28" t="s">
        <v>8</v>
      </c>
      <c r="AS194" s="28" t="s">
        <v>8</v>
      </c>
      <c r="AT194" s="28" t="s">
        <v>8</v>
      </c>
      <c r="AU194" s="28" t="s">
        <v>8</v>
      </c>
      <c r="AV194" s="28" t="s">
        <v>8</v>
      </c>
      <c r="AW194" s="28" t="s">
        <v>8</v>
      </c>
    </row>
    <row r="195" spans="2:49">
      <c r="B195" s="1" t="s">
        <v>562</v>
      </c>
      <c r="C195" s="1" t="s">
        <v>563</v>
      </c>
      <c r="D195" s="1" t="s">
        <v>21</v>
      </c>
      <c r="E195" s="1" t="s">
        <v>564</v>
      </c>
      <c r="F195" s="28" t="s">
        <v>8</v>
      </c>
      <c r="G195" s="28" t="s">
        <v>8</v>
      </c>
      <c r="H195" s="28" t="s">
        <v>8</v>
      </c>
      <c r="I195" s="28" t="s">
        <v>8</v>
      </c>
      <c r="J195" s="28" t="s">
        <v>8</v>
      </c>
      <c r="K195" s="28" t="s">
        <v>8</v>
      </c>
      <c r="L195" s="28" t="s">
        <v>8</v>
      </c>
      <c r="M195" s="28" t="s">
        <v>8</v>
      </c>
      <c r="N195" s="28" t="s">
        <v>8</v>
      </c>
      <c r="O195" s="28" t="s">
        <v>8</v>
      </c>
      <c r="P195" s="28" t="s">
        <v>8</v>
      </c>
      <c r="Q195" s="28" t="s">
        <v>8</v>
      </c>
      <c r="R195" s="28" t="s">
        <v>8</v>
      </c>
      <c r="S195" s="28">
        <v>45</v>
      </c>
      <c r="T195" s="28">
        <v>45</v>
      </c>
      <c r="U195" s="28">
        <v>38</v>
      </c>
      <c r="V195" s="28">
        <v>38</v>
      </c>
      <c r="W195" s="28">
        <v>38</v>
      </c>
      <c r="X195" s="28">
        <v>38</v>
      </c>
      <c r="Y195" s="28">
        <v>38</v>
      </c>
      <c r="Z195" s="28">
        <v>38</v>
      </c>
      <c r="AA195" s="28">
        <v>25</v>
      </c>
      <c r="AB195" s="28">
        <v>25</v>
      </c>
      <c r="AC195" s="28">
        <v>25</v>
      </c>
      <c r="AD195" s="28">
        <v>25</v>
      </c>
      <c r="AE195" s="28">
        <v>16</v>
      </c>
      <c r="AF195" s="28">
        <v>16</v>
      </c>
      <c r="AG195" s="28">
        <v>16</v>
      </c>
      <c r="AH195" s="28">
        <v>16</v>
      </c>
      <c r="AI195" s="28">
        <v>16</v>
      </c>
      <c r="AJ195" s="28">
        <v>16</v>
      </c>
      <c r="AK195" s="28">
        <v>16</v>
      </c>
      <c r="AL195" s="28">
        <v>16</v>
      </c>
      <c r="AM195" s="28">
        <v>16</v>
      </c>
      <c r="AN195" s="28">
        <v>16</v>
      </c>
      <c r="AO195" s="28">
        <v>16</v>
      </c>
      <c r="AP195" s="28">
        <v>16</v>
      </c>
      <c r="AQ195" s="28">
        <v>16</v>
      </c>
      <c r="AR195" s="28">
        <v>16</v>
      </c>
      <c r="AS195" s="28">
        <v>16</v>
      </c>
      <c r="AT195" s="28">
        <v>16</v>
      </c>
      <c r="AU195" s="28">
        <v>16</v>
      </c>
      <c r="AV195" s="28">
        <v>16</v>
      </c>
      <c r="AW195" s="28">
        <v>16</v>
      </c>
    </row>
    <row r="196" spans="2:49">
      <c r="B196" s="1" t="s">
        <v>565</v>
      </c>
      <c r="C196" s="1" t="s">
        <v>566</v>
      </c>
      <c r="D196" s="1" t="s">
        <v>21</v>
      </c>
      <c r="E196" s="1" t="s">
        <v>798</v>
      </c>
      <c r="F196" s="28" t="s">
        <v>8</v>
      </c>
      <c r="G196" s="28" t="s">
        <v>8</v>
      </c>
      <c r="H196" s="28" t="s">
        <v>8</v>
      </c>
      <c r="I196" s="28" t="s">
        <v>8</v>
      </c>
      <c r="J196" s="28" t="s">
        <v>8</v>
      </c>
      <c r="K196" s="28" t="s">
        <v>8</v>
      </c>
      <c r="L196" s="28" t="s">
        <v>8</v>
      </c>
      <c r="M196" s="28" t="s">
        <v>8</v>
      </c>
      <c r="N196" s="28" t="s">
        <v>8</v>
      </c>
      <c r="O196" s="28" t="s">
        <v>8</v>
      </c>
      <c r="P196" s="28">
        <v>35</v>
      </c>
      <c r="Q196" s="28">
        <v>30</v>
      </c>
      <c r="R196" s="28">
        <v>32</v>
      </c>
      <c r="S196" s="28">
        <v>32</v>
      </c>
      <c r="T196" s="28">
        <v>35</v>
      </c>
      <c r="U196" s="28">
        <v>35</v>
      </c>
      <c r="V196" s="28">
        <v>35</v>
      </c>
      <c r="W196" s="28">
        <v>35</v>
      </c>
      <c r="X196" s="28">
        <v>35</v>
      </c>
      <c r="Y196" s="28">
        <v>35</v>
      </c>
      <c r="Z196" s="28">
        <v>35</v>
      </c>
      <c r="AA196" s="28">
        <v>35</v>
      </c>
      <c r="AB196" s="28">
        <v>24</v>
      </c>
      <c r="AC196" s="28">
        <v>24</v>
      </c>
      <c r="AD196" s="28">
        <v>24</v>
      </c>
      <c r="AE196" s="28">
        <v>24</v>
      </c>
      <c r="AF196" s="28">
        <v>24</v>
      </c>
      <c r="AG196" s="28">
        <v>24</v>
      </c>
      <c r="AH196" s="28">
        <v>24</v>
      </c>
      <c r="AI196" s="28">
        <v>20</v>
      </c>
      <c r="AJ196" s="28">
        <v>20</v>
      </c>
      <c r="AK196" s="28">
        <v>20</v>
      </c>
      <c r="AL196" s="28">
        <v>20</v>
      </c>
      <c r="AM196" s="28">
        <v>20</v>
      </c>
      <c r="AN196" s="28">
        <v>20</v>
      </c>
      <c r="AO196" s="28">
        <v>20</v>
      </c>
      <c r="AP196" s="28">
        <v>20</v>
      </c>
      <c r="AQ196" s="28">
        <v>20</v>
      </c>
      <c r="AR196" s="28">
        <v>20</v>
      </c>
      <c r="AS196" s="28">
        <v>20</v>
      </c>
      <c r="AT196" s="28">
        <v>20</v>
      </c>
      <c r="AU196" s="28">
        <v>20</v>
      </c>
      <c r="AV196" s="28">
        <v>20</v>
      </c>
      <c r="AW196" s="28">
        <v>20</v>
      </c>
    </row>
    <row r="197" spans="2:49">
      <c r="B197" s="1" t="s">
        <v>567</v>
      </c>
      <c r="C197" s="1" t="s">
        <v>568</v>
      </c>
      <c r="D197" s="1" t="s">
        <v>9</v>
      </c>
      <c r="E197" s="1" t="s">
        <v>569</v>
      </c>
      <c r="F197" s="28" t="s">
        <v>8</v>
      </c>
      <c r="G197" s="28" t="s">
        <v>8</v>
      </c>
      <c r="H197" s="28" t="s">
        <v>8</v>
      </c>
      <c r="I197" s="28" t="s">
        <v>8</v>
      </c>
      <c r="J197" s="28" t="s">
        <v>8</v>
      </c>
      <c r="K197" s="28" t="s">
        <v>8</v>
      </c>
      <c r="L197" s="28" t="s">
        <v>8</v>
      </c>
      <c r="M197" s="28" t="s">
        <v>8</v>
      </c>
      <c r="N197" s="28" t="s">
        <v>8</v>
      </c>
      <c r="O197" s="28" t="s">
        <v>8</v>
      </c>
      <c r="P197" s="28" t="s">
        <v>8</v>
      </c>
      <c r="Q197" s="28" t="s">
        <v>8</v>
      </c>
      <c r="R197" s="28" t="s">
        <v>8</v>
      </c>
      <c r="S197" s="28" t="s">
        <v>8</v>
      </c>
      <c r="T197" s="28" t="s">
        <v>8</v>
      </c>
      <c r="U197" s="28" t="s">
        <v>8</v>
      </c>
      <c r="V197" s="28" t="s">
        <v>8</v>
      </c>
      <c r="W197" s="28" t="s">
        <v>8</v>
      </c>
      <c r="X197" s="28" t="s">
        <v>8</v>
      </c>
      <c r="Y197" s="28" t="s">
        <v>8</v>
      </c>
      <c r="Z197" s="28" t="s">
        <v>8</v>
      </c>
      <c r="AA197" s="28" t="s">
        <v>8</v>
      </c>
      <c r="AB197" s="28" t="s">
        <v>8</v>
      </c>
      <c r="AC197" s="28" t="s">
        <v>8</v>
      </c>
      <c r="AD197" s="28">
        <v>35</v>
      </c>
      <c r="AE197" s="28">
        <v>35</v>
      </c>
      <c r="AF197" s="28">
        <v>35</v>
      </c>
      <c r="AG197" s="28">
        <v>30</v>
      </c>
      <c r="AH197" s="28">
        <v>30</v>
      </c>
      <c r="AI197" s="28">
        <v>30</v>
      </c>
      <c r="AJ197" s="28">
        <v>30</v>
      </c>
      <c r="AK197" s="28">
        <v>30</v>
      </c>
      <c r="AL197" s="28">
        <v>30</v>
      </c>
      <c r="AM197" s="28">
        <v>30</v>
      </c>
      <c r="AN197" s="28">
        <v>30</v>
      </c>
      <c r="AO197" s="28">
        <v>30</v>
      </c>
      <c r="AP197" s="28">
        <v>30</v>
      </c>
      <c r="AQ197" s="28">
        <v>30</v>
      </c>
      <c r="AR197" s="28">
        <v>30</v>
      </c>
      <c r="AS197" s="28">
        <v>30</v>
      </c>
      <c r="AT197" s="28">
        <v>30</v>
      </c>
      <c r="AU197" s="28">
        <v>30</v>
      </c>
      <c r="AV197" s="28">
        <v>30</v>
      </c>
      <c r="AW197" s="28">
        <v>30</v>
      </c>
    </row>
    <row r="198" spans="2:49">
      <c r="B198" s="1" t="s">
        <v>37</v>
      </c>
      <c r="C198" s="1" t="s">
        <v>570</v>
      </c>
      <c r="D198" s="1" t="s">
        <v>11</v>
      </c>
      <c r="E198" s="1" t="s">
        <v>571</v>
      </c>
      <c r="F198" s="28">
        <v>45</v>
      </c>
      <c r="G198" s="28">
        <v>45</v>
      </c>
      <c r="H198" s="28">
        <v>45</v>
      </c>
      <c r="I198" s="28">
        <v>45</v>
      </c>
      <c r="J198" s="28">
        <v>45</v>
      </c>
      <c r="K198" s="28">
        <v>45</v>
      </c>
      <c r="L198" s="28">
        <v>45</v>
      </c>
      <c r="M198" s="28">
        <v>45</v>
      </c>
      <c r="N198" s="28">
        <v>45</v>
      </c>
      <c r="O198" s="28">
        <v>45</v>
      </c>
      <c r="P198" s="28">
        <v>45</v>
      </c>
      <c r="Q198" s="28">
        <v>45</v>
      </c>
      <c r="R198" s="28">
        <v>45</v>
      </c>
      <c r="S198" s="28">
        <v>45</v>
      </c>
      <c r="T198" s="28">
        <v>45</v>
      </c>
      <c r="U198" s="28">
        <v>45</v>
      </c>
      <c r="V198" s="28">
        <v>45</v>
      </c>
      <c r="W198" s="28">
        <v>45</v>
      </c>
      <c r="X198" s="28">
        <v>45</v>
      </c>
      <c r="Y198" s="28">
        <v>45</v>
      </c>
      <c r="Z198" s="28">
        <v>45</v>
      </c>
      <c r="AA198" s="28">
        <v>30</v>
      </c>
      <c r="AB198" s="28">
        <v>30</v>
      </c>
      <c r="AC198" s="28">
        <v>30</v>
      </c>
      <c r="AD198" s="28">
        <v>30</v>
      </c>
      <c r="AE198" s="28">
        <v>30</v>
      </c>
      <c r="AF198" s="28">
        <v>20</v>
      </c>
      <c r="AG198" s="28">
        <v>20</v>
      </c>
      <c r="AH198" s="28">
        <v>20</v>
      </c>
      <c r="AI198" s="28">
        <v>20</v>
      </c>
      <c r="AJ198" s="28">
        <v>20</v>
      </c>
      <c r="AK198" s="28">
        <v>20</v>
      </c>
      <c r="AL198" s="28">
        <v>20</v>
      </c>
      <c r="AM198" s="28">
        <v>20</v>
      </c>
      <c r="AN198" s="28">
        <v>20</v>
      </c>
      <c r="AO198" s="28">
        <v>20</v>
      </c>
      <c r="AP198" s="28">
        <v>20</v>
      </c>
      <c r="AQ198" s="28">
        <v>20</v>
      </c>
      <c r="AR198" s="28">
        <v>20</v>
      </c>
      <c r="AS198" s="28">
        <v>20</v>
      </c>
      <c r="AT198" s="28">
        <v>20</v>
      </c>
      <c r="AU198" s="28">
        <v>20</v>
      </c>
      <c r="AV198" s="28">
        <v>20</v>
      </c>
      <c r="AW198" s="28">
        <v>20</v>
      </c>
    </row>
    <row r="199" spans="2:49">
      <c r="B199" s="1" t="s">
        <v>572</v>
      </c>
      <c r="C199" s="1" t="s">
        <v>573</v>
      </c>
      <c r="D199" s="1" t="s">
        <v>9</v>
      </c>
      <c r="E199" s="1" t="s">
        <v>574</v>
      </c>
      <c r="F199" s="28" t="s">
        <v>8</v>
      </c>
      <c r="G199" s="28" t="s">
        <v>8</v>
      </c>
      <c r="H199" s="28" t="s">
        <v>8</v>
      </c>
      <c r="I199" s="28" t="s">
        <v>8</v>
      </c>
      <c r="J199" s="28" t="s">
        <v>8</v>
      </c>
      <c r="K199" s="28" t="s">
        <v>8</v>
      </c>
      <c r="L199" s="28" t="s">
        <v>8</v>
      </c>
      <c r="M199" s="28" t="s">
        <v>8</v>
      </c>
      <c r="N199" s="28" t="s">
        <v>8</v>
      </c>
      <c r="O199" s="28" t="s">
        <v>8</v>
      </c>
      <c r="P199" s="28" t="s">
        <v>8</v>
      </c>
      <c r="Q199" s="28">
        <v>45</v>
      </c>
      <c r="R199" s="28" t="s">
        <v>8</v>
      </c>
      <c r="S199" s="28" t="s">
        <v>8</v>
      </c>
      <c r="T199" s="28" t="s">
        <v>8</v>
      </c>
      <c r="U199" s="28">
        <v>60</v>
      </c>
      <c r="V199" s="28">
        <v>60</v>
      </c>
      <c r="W199" s="28">
        <v>60</v>
      </c>
      <c r="X199" s="28">
        <v>60</v>
      </c>
      <c r="Y199" s="28">
        <v>60</v>
      </c>
      <c r="Z199" s="28">
        <v>40</v>
      </c>
      <c r="AA199" s="28">
        <v>40</v>
      </c>
      <c r="AB199" s="28">
        <v>40</v>
      </c>
      <c r="AC199" s="28">
        <v>35</v>
      </c>
      <c r="AD199" s="28">
        <v>35</v>
      </c>
      <c r="AE199" s="28">
        <v>35</v>
      </c>
      <c r="AF199" s="28">
        <v>35</v>
      </c>
      <c r="AG199" s="28">
        <v>30</v>
      </c>
      <c r="AH199" s="28">
        <v>15</v>
      </c>
      <c r="AI199" s="28">
        <v>15</v>
      </c>
      <c r="AJ199" s="28">
        <v>15</v>
      </c>
      <c r="AK199" s="28">
        <v>35</v>
      </c>
      <c r="AL199" s="28">
        <v>35</v>
      </c>
      <c r="AM199" s="28">
        <v>35</v>
      </c>
      <c r="AN199" s="28">
        <v>35</v>
      </c>
      <c r="AO199" s="28">
        <v>35</v>
      </c>
      <c r="AP199" s="28">
        <v>35</v>
      </c>
      <c r="AQ199" s="28">
        <v>35</v>
      </c>
      <c r="AR199" s="28">
        <v>35</v>
      </c>
      <c r="AS199" s="28">
        <v>35</v>
      </c>
      <c r="AT199" s="28">
        <v>35</v>
      </c>
      <c r="AU199" s="28">
        <v>35</v>
      </c>
      <c r="AV199" s="28">
        <v>35</v>
      </c>
      <c r="AW199" s="28">
        <v>35</v>
      </c>
    </row>
    <row r="200" spans="2:49">
      <c r="B200" s="1" t="s">
        <v>575</v>
      </c>
      <c r="C200" s="1" t="s">
        <v>576</v>
      </c>
      <c r="D200" s="1" t="s">
        <v>9</v>
      </c>
      <c r="E200" s="1" t="s">
        <v>577</v>
      </c>
      <c r="F200" s="28" t="s">
        <v>8</v>
      </c>
      <c r="G200" s="28" t="s">
        <v>8</v>
      </c>
      <c r="H200" s="28">
        <v>33.299999999999997</v>
      </c>
      <c r="I200" s="28">
        <v>33.299999999999997</v>
      </c>
      <c r="J200" s="28">
        <v>33.299999999999997</v>
      </c>
      <c r="K200" s="28">
        <v>33.299999999999997</v>
      </c>
      <c r="L200" s="28">
        <v>33.299999999999997</v>
      </c>
      <c r="M200" s="28">
        <v>33.299999999999997</v>
      </c>
      <c r="N200" s="28">
        <v>33.299999999999997</v>
      </c>
      <c r="O200" s="28">
        <v>33.299999999999997</v>
      </c>
      <c r="P200" s="28">
        <v>35</v>
      </c>
      <c r="Q200" s="28">
        <v>35</v>
      </c>
      <c r="R200" s="28">
        <v>35</v>
      </c>
      <c r="S200" s="28">
        <v>35</v>
      </c>
      <c r="T200" s="28">
        <v>35</v>
      </c>
      <c r="U200" s="28">
        <v>35</v>
      </c>
      <c r="V200" s="28">
        <v>35</v>
      </c>
      <c r="W200" s="28">
        <v>35</v>
      </c>
      <c r="X200" s="28">
        <v>35</v>
      </c>
      <c r="Y200" s="28">
        <v>35</v>
      </c>
      <c r="Z200" s="28">
        <v>35</v>
      </c>
      <c r="AA200" s="28">
        <v>35</v>
      </c>
      <c r="AB200" s="28">
        <v>35</v>
      </c>
      <c r="AC200" s="28">
        <v>35</v>
      </c>
      <c r="AD200" s="28">
        <v>35</v>
      </c>
      <c r="AE200" s="28">
        <v>33</v>
      </c>
      <c r="AF200" s="28">
        <v>33</v>
      </c>
      <c r="AG200" s="28">
        <v>25</v>
      </c>
      <c r="AH200" s="28">
        <v>25</v>
      </c>
      <c r="AI200" s="28">
        <v>25</v>
      </c>
      <c r="AJ200" s="28">
        <v>25</v>
      </c>
      <c r="AK200" s="28">
        <v>25</v>
      </c>
      <c r="AL200" s="28">
        <v>25</v>
      </c>
      <c r="AM200" s="28">
        <v>30</v>
      </c>
      <c r="AN200" s="28">
        <v>30</v>
      </c>
      <c r="AO200" s="28">
        <v>30</v>
      </c>
      <c r="AP200" s="28">
        <v>30</v>
      </c>
      <c r="AQ200" s="28">
        <v>30</v>
      </c>
      <c r="AR200" s="28">
        <v>30</v>
      </c>
      <c r="AS200" s="28">
        <v>30</v>
      </c>
      <c r="AT200" s="28">
        <v>30</v>
      </c>
      <c r="AU200" s="28">
        <v>30</v>
      </c>
      <c r="AV200" s="28">
        <v>30</v>
      </c>
      <c r="AW200" s="28">
        <v>30</v>
      </c>
    </row>
    <row r="201" spans="2:49">
      <c r="B201" s="1" t="s">
        <v>578</v>
      </c>
      <c r="C201" s="1" t="s">
        <v>579</v>
      </c>
      <c r="D201" s="1" t="s">
        <v>11</v>
      </c>
      <c r="E201" s="1" t="s">
        <v>580</v>
      </c>
      <c r="F201" s="28">
        <v>40</v>
      </c>
      <c r="G201" s="28">
        <v>40</v>
      </c>
      <c r="H201" s="28">
        <v>40</v>
      </c>
      <c r="I201" s="28">
        <v>40</v>
      </c>
      <c r="J201" s="28">
        <v>40</v>
      </c>
      <c r="K201" s="28">
        <v>40</v>
      </c>
      <c r="L201" s="28">
        <v>40</v>
      </c>
      <c r="M201" s="28">
        <v>33</v>
      </c>
      <c r="N201" s="28">
        <v>33</v>
      </c>
      <c r="O201" s="28">
        <v>33</v>
      </c>
      <c r="P201" s="28">
        <v>32</v>
      </c>
      <c r="Q201" s="28">
        <v>31</v>
      </c>
      <c r="R201" s="28">
        <v>31</v>
      </c>
      <c r="S201" s="28">
        <v>30</v>
      </c>
      <c r="T201" s="28">
        <v>27</v>
      </c>
      <c r="U201" s="28">
        <v>27</v>
      </c>
      <c r="V201" s="28">
        <v>26</v>
      </c>
      <c r="W201" s="28">
        <v>26</v>
      </c>
      <c r="X201" s="28">
        <v>26</v>
      </c>
      <c r="Y201" s="28">
        <v>26</v>
      </c>
      <c r="Z201" s="28">
        <v>26</v>
      </c>
      <c r="AA201" s="28">
        <v>25.5</v>
      </c>
      <c r="AB201" s="28">
        <v>24.5</v>
      </c>
      <c r="AC201" s="28">
        <v>22</v>
      </c>
      <c r="AD201" s="28">
        <v>22</v>
      </c>
      <c r="AE201" s="28">
        <v>20</v>
      </c>
      <c r="AF201" s="28">
        <v>20</v>
      </c>
      <c r="AG201" s="28">
        <v>20</v>
      </c>
      <c r="AH201" s="28">
        <v>18</v>
      </c>
      <c r="AI201" s="28">
        <v>18</v>
      </c>
      <c r="AJ201" s="28">
        <v>17</v>
      </c>
      <c r="AK201" s="28">
        <v>17</v>
      </c>
      <c r="AL201" s="28">
        <v>17</v>
      </c>
      <c r="AM201" s="28">
        <v>17</v>
      </c>
      <c r="AN201" s="28">
        <v>17</v>
      </c>
      <c r="AO201" s="28">
        <v>17</v>
      </c>
      <c r="AP201" s="28">
        <v>17</v>
      </c>
      <c r="AQ201" s="28">
        <v>17</v>
      </c>
      <c r="AR201" s="28">
        <v>17</v>
      </c>
      <c r="AS201" s="28">
        <v>17</v>
      </c>
      <c r="AT201" s="28">
        <v>17</v>
      </c>
      <c r="AU201" s="28">
        <v>17</v>
      </c>
      <c r="AV201" s="28">
        <v>17</v>
      </c>
      <c r="AW201" s="28">
        <v>17</v>
      </c>
    </row>
    <row r="202" spans="2:49">
      <c r="B202" s="1" t="s">
        <v>581</v>
      </c>
      <c r="C202" s="1" t="s">
        <v>582</v>
      </c>
      <c r="D202" s="1" t="s">
        <v>29</v>
      </c>
      <c r="E202" s="1" t="s">
        <v>583</v>
      </c>
      <c r="F202" s="28" t="s">
        <v>8</v>
      </c>
      <c r="G202" s="28" t="s">
        <v>8</v>
      </c>
      <c r="H202" s="28" t="s">
        <v>8</v>
      </c>
      <c r="I202" s="28" t="s">
        <v>8</v>
      </c>
      <c r="J202" s="28" t="s">
        <v>8</v>
      </c>
      <c r="K202" s="28" t="s">
        <v>8</v>
      </c>
      <c r="L202" s="28" t="s">
        <v>8</v>
      </c>
      <c r="M202" s="28" t="s">
        <v>8</v>
      </c>
      <c r="N202" s="28" t="s">
        <v>8</v>
      </c>
      <c r="O202" s="28" t="s">
        <v>8</v>
      </c>
      <c r="P202" s="28" t="s">
        <v>8</v>
      </c>
      <c r="Q202" s="28" t="s">
        <v>8</v>
      </c>
      <c r="R202" s="28" t="s">
        <v>8</v>
      </c>
      <c r="S202" s="28" t="s">
        <v>8</v>
      </c>
      <c r="T202" s="28" t="s">
        <v>8</v>
      </c>
      <c r="U202" s="28" t="s">
        <v>8</v>
      </c>
      <c r="V202" s="28" t="s">
        <v>8</v>
      </c>
      <c r="W202" s="28" t="s">
        <v>8</v>
      </c>
      <c r="X202" s="28" t="s">
        <v>8</v>
      </c>
      <c r="Y202" s="28" t="s">
        <v>8</v>
      </c>
      <c r="Z202" s="28" t="s">
        <v>8</v>
      </c>
      <c r="AA202" s="28" t="s">
        <v>8</v>
      </c>
      <c r="AB202" s="28" t="s">
        <v>8</v>
      </c>
      <c r="AC202" s="28" t="s">
        <v>8</v>
      </c>
      <c r="AD202" s="28" t="s">
        <v>8</v>
      </c>
      <c r="AE202" s="28" t="s">
        <v>8</v>
      </c>
      <c r="AF202" s="28" t="s">
        <v>8</v>
      </c>
      <c r="AG202" s="28" t="s">
        <v>8</v>
      </c>
      <c r="AH202" s="28" t="s">
        <v>8</v>
      </c>
      <c r="AI202" s="28" t="s">
        <v>8</v>
      </c>
      <c r="AJ202" s="28" t="s">
        <v>8</v>
      </c>
      <c r="AK202" s="28" t="s">
        <v>8</v>
      </c>
      <c r="AL202" s="28" t="s">
        <v>8</v>
      </c>
      <c r="AM202" s="28" t="s">
        <v>8</v>
      </c>
      <c r="AN202" s="28" t="s">
        <v>8</v>
      </c>
      <c r="AO202" s="28" t="s">
        <v>8</v>
      </c>
      <c r="AP202" s="28" t="s">
        <v>8</v>
      </c>
      <c r="AQ202" s="28" t="s">
        <v>8</v>
      </c>
      <c r="AR202" s="28" t="s">
        <v>8</v>
      </c>
      <c r="AS202" s="28" t="s">
        <v>8</v>
      </c>
      <c r="AT202" s="28" t="s">
        <v>8</v>
      </c>
      <c r="AU202" s="28" t="s">
        <v>8</v>
      </c>
      <c r="AV202" s="28" t="s">
        <v>8</v>
      </c>
      <c r="AW202" s="28" t="s">
        <v>8</v>
      </c>
    </row>
    <row r="203" spans="2:49">
      <c r="B203" s="1" t="s">
        <v>584</v>
      </c>
      <c r="C203" s="1" t="s">
        <v>585</v>
      </c>
      <c r="D203" s="1" t="s">
        <v>9</v>
      </c>
      <c r="E203" s="1" t="s">
        <v>586</v>
      </c>
      <c r="F203" s="28" t="s">
        <v>8</v>
      </c>
      <c r="G203" s="28" t="s">
        <v>8</v>
      </c>
      <c r="H203" s="28" t="s">
        <v>8</v>
      </c>
      <c r="I203" s="28" t="s">
        <v>8</v>
      </c>
      <c r="J203" s="28" t="s">
        <v>8</v>
      </c>
      <c r="K203" s="28" t="s">
        <v>8</v>
      </c>
      <c r="L203" s="28" t="s">
        <v>8</v>
      </c>
      <c r="M203" s="28" t="s">
        <v>8</v>
      </c>
      <c r="N203" s="28" t="s">
        <v>8</v>
      </c>
      <c r="O203" s="28" t="s">
        <v>8</v>
      </c>
      <c r="P203" s="28" t="s">
        <v>8</v>
      </c>
      <c r="Q203" s="28" t="s">
        <v>8</v>
      </c>
      <c r="R203" s="28" t="s">
        <v>8</v>
      </c>
      <c r="S203" s="28" t="s">
        <v>8</v>
      </c>
      <c r="T203" s="28" t="s">
        <v>8</v>
      </c>
      <c r="U203" s="28" t="s">
        <v>8</v>
      </c>
      <c r="V203" s="28" t="s">
        <v>8</v>
      </c>
      <c r="W203" s="28" t="s">
        <v>8</v>
      </c>
      <c r="X203" s="28" t="s">
        <v>8</v>
      </c>
      <c r="Y203" s="28" t="s">
        <v>8</v>
      </c>
      <c r="Z203" s="28" t="s">
        <v>8</v>
      </c>
      <c r="AA203" s="28" t="s">
        <v>8</v>
      </c>
      <c r="AB203" s="28" t="s">
        <v>8</v>
      </c>
      <c r="AC203" s="28" t="s">
        <v>8</v>
      </c>
      <c r="AD203" s="28" t="s">
        <v>8</v>
      </c>
      <c r="AE203" s="28" t="s">
        <v>8</v>
      </c>
      <c r="AF203" s="28" t="s">
        <v>8</v>
      </c>
      <c r="AG203" s="28" t="s">
        <v>8</v>
      </c>
      <c r="AH203" s="28" t="s">
        <v>8</v>
      </c>
      <c r="AI203" s="28" t="s">
        <v>8</v>
      </c>
      <c r="AJ203" s="28" t="s">
        <v>8</v>
      </c>
      <c r="AK203" s="28" t="s">
        <v>8</v>
      </c>
      <c r="AL203" s="28" t="s">
        <v>8</v>
      </c>
      <c r="AM203" s="28" t="s">
        <v>8</v>
      </c>
      <c r="AN203" s="28" t="s">
        <v>8</v>
      </c>
      <c r="AO203" s="28" t="s">
        <v>8</v>
      </c>
      <c r="AP203" s="28" t="s">
        <v>8</v>
      </c>
      <c r="AQ203" s="28" t="s">
        <v>8</v>
      </c>
      <c r="AR203" s="28" t="s">
        <v>8</v>
      </c>
      <c r="AS203" s="28">
        <v>25</v>
      </c>
      <c r="AT203" s="28">
        <v>25</v>
      </c>
      <c r="AU203" s="28">
        <v>25</v>
      </c>
      <c r="AV203" s="28">
        <v>25</v>
      </c>
      <c r="AW203" s="28">
        <v>25</v>
      </c>
    </row>
    <row r="204" spans="2:49">
      <c r="B204" s="1" t="s">
        <v>587</v>
      </c>
      <c r="C204" s="1" t="s">
        <v>588</v>
      </c>
      <c r="D204" s="1" t="s">
        <v>21</v>
      </c>
      <c r="E204" s="1" t="s">
        <v>589</v>
      </c>
      <c r="F204" s="28" t="s">
        <v>8</v>
      </c>
      <c r="G204" s="28" t="s">
        <v>8</v>
      </c>
      <c r="H204" s="28" t="s">
        <v>8</v>
      </c>
      <c r="I204" s="28" t="s">
        <v>8</v>
      </c>
      <c r="J204" s="28" t="s">
        <v>8</v>
      </c>
      <c r="K204" s="28" t="s">
        <v>8</v>
      </c>
      <c r="L204" s="28" t="s">
        <v>8</v>
      </c>
      <c r="M204" s="28" t="s">
        <v>8</v>
      </c>
      <c r="N204" s="28" t="s">
        <v>8</v>
      </c>
      <c r="O204" s="28" t="s">
        <v>8</v>
      </c>
      <c r="P204" s="28" t="s">
        <v>8</v>
      </c>
      <c r="Q204" s="28" t="s">
        <v>8</v>
      </c>
      <c r="R204" s="28" t="s">
        <v>8</v>
      </c>
      <c r="S204" s="28" t="s">
        <v>8</v>
      </c>
      <c r="T204" s="28" t="s">
        <v>8</v>
      </c>
      <c r="U204" s="28" t="s">
        <v>8</v>
      </c>
      <c r="V204" s="28" t="s">
        <v>8</v>
      </c>
      <c r="W204" s="28" t="s">
        <v>8</v>
      </c>
      <c r="X204" s="28" t="s">
        <v>8</v>
      </c>
      <c r="Y204" s="28" t="s">
        <v>8</v>
      </c>
      <c r="Z204" s="28" t="s">
        <v>8</v>
      </c>
      <c r="AA204" s="28" t="s">
        <v>8</v>
      </c>
      <c r="AB204" s="28" t="s">
        <v>8</v>
      </c>
      <c r="AC204" s="28" t="s">
        <v>8</v>
      </c>
      <c r="AD204" s="28" t="s">
        <v>8</v>
      </c>
      <c r="AE204" s="28" t="s">
        <v>8</v>
      </c>
      <c r="AF204" s="28" t="s">
        <v>8</v>
      </c>
      <c r="AG204" s="28" t="s">
        <v>8</v>
      </c>
      <c r="AH204" s="28" t="s">
        <v>8</v>
      </c>
      <c r="AI204" s="28" t="s">
        <v>8</v>
      </c>
      <c r="AJ204" s="28" t="s">
        <v>8</v>
      </c>
      <c r="AK204" s="28" t="s">
        <v>8</v>
      </c>
      <c r="AL204" s="28" t="s">
        <v>8</v>
      </c>
      <c r="AM204" s="28" t="s">
        <v>8</v>
      </c>
      <c r="AN204" s="28" t="s">
        <v>8</v>
      </c>
      <c r="AO204" s="28" t="s">
        <v>8</v>
      </c>
      <c r="AP204" s="28" t="s">
        <v>8</v>
      </c>
      <c r="AQ204" s="28" t="s">
        <v>8</v>
      </c>
      <c r="AR204" s="28" t="s">
        <v>8</v>
      </c>
      <c r="AS204" s="28" t="s">
        <v>8</v>
      </c>
      <c r="AT204" s="28" t="s">
        <v>8</v>
      </c>
      <c r="AU204" s="28" t="s">
        <v>8</v>
      </c>
      <c r="AV204" s="28" t="s">
        <v>8</v>
      </c>
      <c r="AW204" s="28" t="s">
        <v>8</v>
      </c>
    </row>
    <row r="205" spans="2:49">
      <c r="B205" s="1" t="s">
        <v>590</v>
      </c>
      <c r="C205" s="1" t="s">
        <v>591</v>
      </c>
      <c r="D205" s="1" t="s">
        <v>43</v>
      </c>
      <c r="E205" s="1" t="s">
        <v>592</v>
      </c>
      <c r="F205" s="28">
        <v>35</v>
      </c>
      <c r="G205" s="28">
        <v>35</v>
      </c>
      <c r="H205" s="28">
        <v>35</v>
      </c>
      <c r="I205" s="28">
        <v>35</v>
      </c>
      <c r="J205" s="28">
        <v>35</v>
      </c>
      <c r="K205" s="28">
        <v>35</v>
      </c>
      <c r="L205" s="28">
        <v>35</v>
      </c>
      <c r="M205" s="28">
        <v>35</v>
      </c>
      <c r="N205" s="28">
        <v>35</v>
      </c>
      <c r="O205" s="28">
        <v>35</v>
      </c>
      <c r="P205" s="28">
        <v>35</v>
      </c>
      <c r="Q205" s="28">
        <v>35</v>
      </c>
      <c r="R205" s="28">
        <v>35</v>
      </c>
      <c r="S205" s="28">
        <v>35</v>
      </c>
      <c r="T205" s="28">
        <v>35</v>
      </c>
      <c r="U205" s="28">
        <v>35</v>
      </c>
      <c r="V205" s="28">
        <v>35</v>
      </c>
      <c r="W205" s="28">
        <v>35</v>
      </c>
      <c r="X205" s="28">
        <v>35</v>
      </c>
      <c r="Y205" s="28" t="s">
        <v>8</v>
      </c>
      <c r="Z205" s="28" t="s">
        <v>8</v>
      </c>
      <c r="AA205" s="28">
        <v>35</v>
      </c>
      <c r="AB205" s="28">
        <v>35</v>
      </c>
      <c r="AC205" s="28" t="s">
        <v>8</v>
      </c>
      <c r="AD205" s="28" t="s">
        <v>8</v>
      </c>
      <c r="AE205" s="28" t="s">
        <v>8</v>
      </c>
      <c r="AF205" s="28" t="s">
        <v>8</v>
      </c>
      <c r="AG205" s="28" t="s">
        <v>8</v>
      </c>
      <c r="AH205" s="28" t="s">
        <v>8</v>
      </c>
      <c r="AI205" s="28" t="s">
        <v>8</v>
      </c>
      <c r="AJ205" s="28">
        <v>30</v>
      </c>
      <c r="AK205" s="28">
        <v>30</v>
      </c>
      <c r="AL205" s="28">
        <v>30</v>
      </c>
      <c r="AM205" s="28">
        <v>30</v>
      </c>
      <c r="AN205" s="28">
        <v>30</v>
      </c>
      <c r="AO205" s="28">
        <v>30</v>
      </c>
      <c r="AP205" s="28">
        <v>30</v>
      </c>
      <c r="AQ205" s="28">
        <v>30</v>
      </c>
      <c r="AR205" s="28">
        <v>30</v>
      </c>
      <c r="AS205" s="28">
        <v>30</v>
      </c>
      <c r="AT205" s="28">
        <v>30</v>
      </c>
      <c r="AU205" s="28">
        <v>30</v>
      </c>
      <c r="AV205" s="28">
        <v>30</v>
      </c>
      <c r="AW205" s="28">
        <v>30</v>
      </c>
    </row>
    <row r="206" spans="2:49">
      <c r="B206" s="1" t="s">
        <v>593</v>
      </c>
      <c r="C206" s="1" t="s">
        <v>594</v>
      </c>
      <c r="D206" s="1" t="s">
        <v>9</v>
      </c>
      <c r="E206" s="1" t="s">
        <v>595</v>
      </c>
      <c r="F206" s="28" t="s">
        <v>8</v>
      </c>
      <c r="G206" s="28">
        <v>45</v>
      </c>
      <c r="H206" s="28" t="s">
        <v>8</v>
      </c>
      <c r="I206" s="28" t="s">
        <v>8</v>
      </c>
      <c r="J206" s="28" t="s">
        <v>8</v>
      </c>
      <c r="K206" s="28" t="s">
        <v>8</v>
      </c>
      <c r="L206" s="28" t="s">
        <v>8</v>
      </c>
      <c r="M206" s="28" t="s">
        <v>8</v>
      </c>
      <c r="N206" s="28" t="s">
        <v>8</v>
      </c>
      <c r="O206" s="28" t="s">
        <v>8</v>
      </c>
      <c r="P206" s="28" t="s">
        <v>8</v>
      </c>
      <c r="Q206" s="28" t="s">
        <v>8</v>
      </c>
      <c r="R206" s="28" t="s">
        <v>8</v>
      </c>
      <c r="S206" s="28" t="s">
        <v>8</v>
      </c>
      <c r="T206" s="28" t="s">
        <v>8</v>
      </c>
      <c r="U206" s="28">
        <v>47.2</v>
      </c>
      <c r="V206" s="28">
        <v>47.2</v>
      </c>
      <c r="W206" s="28">
        <v>47.2</v>
      </c>
      <c r="X206" s="28">
        <v>47.2</v>
      </c>
      <c r="Y206" s="28">
        <v>47.2</v>
      </c>
      <c r="Z206" s="28">
        <v>45</v>
      </c>
      <c r="AA206" s="28">
        <v>45</v>
      </c>
      <c r="AB206" s="28">
        <v>45</v>
      </c>
      <c r="AC206" s="28">
        <v>0</v>
      </c>
      <c r="AD206" s="28">
        <v>0</v>
      </c>
      <c r="AE206" s="28">
        <v>0</v>
      </c>
      <c r="AF206" s="28">
        <v>0</v>
      </c>
      <c r="AG206" s="28">
        <v>0</v>
      </c>
      <c r="AH206" s="28">
        <v>0</v>
      </c>
      <c r="AI206" s="28">
        <v>0</v>
      </c>
      <c r="AJ206" s="28">
        <v>0</v>
      </c>
      <c r="AK206" s="28">
        <v>0</v>
      </c>
      <c r="AL206" s="28">
        <v>0</v>
      </c>
      <c r="AM206" s="28">
        <v>0</v>
      </c>
      <c r="AN206" s="28">
        <v>30</v>
      </c>
      <c r="AO206" s="28">
        <v>30</v>
      </c>
      <c r="AP206" s="28">
        <v>30</v>
      </c>
      <c r="AQ206" s="28">
        <v>30</v>
      </c>
      <c r="AR206" s="28">
        <v>30</v>
      </c>
      <c r="AS206" s="28">
        <v>30</v>
      </c>
      <c r="AT206" s="28">
        <v>30</v>
      </c>
      <c r="AU206" s="28">
        <v>30</v>
      </c>
      <c r="AV206" s="28">
        <v>25</v>
      </c>
      <c r="AW206" s="28">
        <v>25</v>
      </c>
    </row>
    <row r="207" spans="2:49">
      <c r="B207" s="1" t="s">
        <v>596</v>
      </c>
      <c r="C207" s="1" t="s">
        <v>597</v>
      </c>
      <c r="D207" s="1" t="s">
        <v>6</v>
      </c>
      <c r="E207" s="1" t="s">
        <v>598</v>
      </c>
      <c r="F207" s="28">
        <v>30</v>
      </c>
      <c r="G207" s="28">
        <v>30</v>
      </c>
      <c r="H207" s="28">
        <v>30</v>
      </c>
      <c r="I207" s="28">
        <v>30</v>
      </c>
      <c r="J207" s="28">
        <v>30</v>
      </c>
      <c r="K207" s="28">
        <v>30</v>
      </c>
      <c r="L207" s="28">
        <v>30</v>
      </c>
      <c r="M207" s="28">
        <v>35</v>
      </c>
      <c r="N207" s="28">
        <v>35</v>
      </c>
      <c r="O207" s="28">
        <v>35</v>
      </c>
      <c r="P207" s="28">
        <v>30</v>
      </c>
      <c r="Q207" s="28">
        <v>30</v>
      </c>
      <c r="R207" s="28">
        <v>25</v>
      </c>
      <c r="S207" s="28">
        <v>25</v>
      </c>
      <c r="T207" s="28">
        <v>25</v>
      </c>
      <c r="U207" s="28">
        <v>25</v>
      </c>
      <c r="V207" s="28">
        <v>25</v>
      </c>
      <c r="W207" s="28">
        <v>25</v>
      </c>
      <c r="X207" s="28">
        <v>25</v>
      </c>
      <c r="Y207" s="28">
        <v>25</v>
      </c>
      <c r="Z207" s="28">
        <v>25</v>
      </c>
      <c r="AA207" s="28">
        <v>25</v>
      </c>
      <c r="AB207" s="28">
        <v>25</v>
      </c>
      <c r="AC207" s="28">
        <v>25</v>
      </c>
      <c r="AD207" s="28">
        <v>25</v>
      </c>
      <c r="AE207" s="28">
        <v>25</v>
      </c>
      <c r="AF207" s="28">
        <v>25</v>
      </c>
      <c r="AG207" s="28">
        <v>25</v>
      </c>
      <c r="AH207" s="28">
        <v>25</v>
      </c>
      <c r="AI207" s="28">
        <v>25</v>
      </c>
      <c r="AJ207" s="28">
        <v>25</v>
      </c>
      <c r="AK207" s="28">
        <v>25</v>
      </c>
      <c r="AL207" s="28">
        <v>30</v>
      </c>
      <c r="AM207" s="28">
        <v>30</v>
      </c>
      <c r="AN207" s="28">
        <v>30</v>
      </c>
      <c r="AO207" s="28">
        <v>30</v>
      </c>
      <c r="AP207" s="28">
        <v>30</v>
      </c>
      <c r="AQ207" s="28">
        <v>30</v>
      </c>
      <c r="AR207" s="28">
        <v>30</v>
      </c>
      <c r="AS207" s="28">
        <v>30</v>
      </c>
      <c r="AT207" s="28">
        <v>30</v>
      </c>
      <c r="AU207" s="28">
        <v>30</v>
      </c>
      <c r="AV207" s="28">
        <v>30</v>
      </c>
      <c r="AW207" s="28">
        <v>30</v>
      </c>
    </row>
    <row r="208" spans="2:49">
      <c r="B208" s="1" t="s">
        <v>599</v>
      </c>
      <c r="C208" s="1" t="s">
        <v>600</v>
      </c>
      <c r="D208" s="1" t="s">
        <v>21</v>
      </c>
      <c r="E208" s="1" t="s">
        <v>601</v>
      </c>
      <c r="F208" s="28" t="s">
        <v>8</v>
      </c>
      <c r="G208" s="28" t="s">
        <v>8</v>
      </c>
      <c r="H208" s="28" t="s">
        <v>8</v>
      </c>
      <c r="I208" s="28" t="s">
        <v>8</v>
      </c>
      <c r="J208" s="28" t="s">
        <v>8</v>
      </c>
      <c r="K208" s="28" t="s">
        <v>8</v>
      </c>
      <c r="L208" s="28" t="s">
        <v>8</v>
      </c>
      <c r="M208" s="28" t="s">
        <v>8</v>
      </c>
      <c r="N208" s="28" t="s">
        <v>8</v>
      </c>
      <c r="O208" s="28" t="s">
        <v>8</v>
      </c>
      <c r="P208" s="28" t="s">
        <v>8</v>
      </c>
      <c r="Q208" s="28" t="s">
        <v>8</v>
      </c>
      <c r="R208" s="28" t="s">
        <v>8</v>
      </c>
      <c r="S208" s="28" t="s">
        <v>8</v>
      </c>
      <c r="T208" s="28" t="s">
        <v>8</v>
      </c>
      <c r="U208" s="28" t="s">
        <v>8</v>
      </c>
      <c r="V208" s="28" t="s">
        <v>8</v>
      </c>
      <c r="W208" s="28" t="s">
        <v>8</v>
      </c>
      <c r="X208" s="28" t="s">
        <v>8</v>
      </c>
      <c r="Y208" s="28" t="s">
        <v>8</v>
      </c>
      <c r="Z208" s="28">
        <v>24</v>
      </c>
      <c r="AA208" s="28">
        <v>24</v>
      </c>
      <c r="AB208" s="28">
        <v>24</v>
      </c>
      <c r="AC208" s="28">
        <v>24</v>
      </c>
      <c r="AD208" s="28">
        <v>24</v>
      </c>
      <c r="AE208" s="28">
        <v>19</v>
      </c>
      <c r="AF208" s="28">
        <v>19</v>
      </c>
      <c r="AG208" s="28">
        <v>17</v>
      </c>
      <c r="AH208" s="28">
        <v>17</v>
      </c>
      <c r="AI208" s="28">
        <v>17</v>
      </c>
      <c r="AJ208" s="28">
        <v>17</v>
      </c>
      <c r="AK208" s="28">
        <v>17</v>
      </c>
      <c r="AL208" s="28">
        <v>17</v>
      </c>
      <c r="AM208" s="28">
        <v>17</v>
      </c>
      <c r="AN208" s="28">
        <v>17</v>
      </c>
      <c r="AO208" s="28">
        <v>17</v>
      </c>
      <c r="AP208" s="28">
        <v>17</v>
      </c>
      <c r="AQ208" s="28">
        <v>17</v>
      </c>
      <c r="AR208" s="28">
        <v>17</v>
      </c>
      <c r="AS208" s="28">
        <v>17</v>
      </c>
      <c r="AT208" s="28">
        <v>17</v>
      </c>
      <c r="AU208" s="28">
        <v>17</v>
      </c>
      <c r="AV208" s="28">
        <v>17</v>
      </c>
      <c r="AW208" s="28">
        <v>17</v>
      </c>
    </row>
    <row r="209" spans="2:49">
      <c r="B209" s="1" t="s">
        <v>602</v>
      </c>
      <c r="C209" s="1" t="s">
        <v>603</v>
      </c>
      <c r="D209" s="1" t="s">
        <v>9</v>
      </c>
      <c r="E209" s="1" t="s">
        <v>604</v>
      </c>
      <c r="F209" s="28" t="s">
        <v>8</v>
      </c>
      <c r="G209" s="28" t="s">
        <v>8</v>
      </c>
      <c r="H209" s="28" t="s">
        <v>8</v>
      </c>
      <c r="I209" s="28" t="s">
        <v>8</v>
      </c>
      <c r="J209" s="28" t="s">
        <v>8</v>
      </c>
      <c r="K209" s="28" t="s">
        <v>8</v>
      </c>
      <c r="L209" s="28" t="s">
        <v>8</v>
      </c>
      <c r="M209" s="28" t="s">
        <v>8</v>
      </c>
      <c r="N209" s="28" t="s">
        <v>8</v>
      </c>
      <c r="O209" s="28" t="s">
        <v>8</v>
      </c>
      <c r="P209" s="28" t="s">
        <v>8</v>
      </c>
      <c r="Q209" s="28" t="s">
        <v>8</v>
      </c>
      <c r="R209" s="28" t="s">
        <v>8</v>
      </c>
      <c r="S209" s="28" t="s">
        <v>8</v>
      </c>
      <c r="T209" s="28" t="s">
        <v>8</v>
      </c>
      <c r="U209" s="28" t="s">
        <v>8</v>
      </c>
      <c r="V209" s="28" t="s">
        <v>8</v>
      </c>
      <c r="W209" s="28" t="s">
        <v>8</v>
      </c>
      <c r="X209" s="28" t="s">
        <v>8</v>
      </c>
      <c r="Y209" s="28" t="s">
        <v>8</v>
      </c>
      <c r="Z209" s="28" t="s">
        <v>8</v>
      </c>
      <c r="AA209" s="28" t="s">
        <v>8</v>
      </c>
      <c r="AB209" s="28" t="s">
        <v>8</v>
      </c>
      <c r="AC209" s="28" t="s">
        <v>8</v>
      </c>
      <c r="AD209" s="28" t="s">
        <v>8</v>
      </c>
      <c r="AE209" s="28" t="s">
        <v>8</v>
      </c>
      <c r="AF209" s="28" t="s">
        <v>8</v>
      </c>
      <c r="AG209" s="28" t="s">
        <v>8</v>
      </c>
      <c r="AH209" s="28" t="s">
        <v>8</v>
      </c>
      <c r="AI209" s="28" t="s">
        <v>8</v>
      </c>
      <c r="AJ209" s="28" t="s">
        <v>8</v>
      </c>
      <c r="AK209" s="28" t="s">
        <v>8</v>
      </c>
      <c r="AL209" s="28" t="s">
        <v>8</v>
      </c>
      <c r="AM209" s="28" t="s">
        <v>8</v>
      </c>
      <c r="AN209" s="28" t="s">
        <v>8</v>
      </c>
      <c r="AO209" s="28" t="s">
        <v>8</v>
      </c>
      <c r="AP209" s="28" t="s">
        <v>8</v>
      </c>
      <c r="AQ209" s="28" t="s">
        <v>8</v>
      </c>
      <c r="AR209" s="28" t="s">
        <v>8</v>
      </c>
      <c r="AS209" s="28" t="s">
        <v>8</v>
      </c>
      <c r="AT209" s="28" t="s">
        <v>8</v>
      </c>
      <c r="AU209" s="28" t="s">
        <v>8</v>
      </c>
      <c r="AV209" s="28" t="s">
        <v>8</v>
      </c>
      <c r="AW209" s="28" t="s">
        <v>8</v>
      </c>
    </row>
    <row r="210" spans="2:49">
      <c r="B210" s="1" t="s">
        <v>605</v>
      </c>
      <c r="C210" s="1" t="s">
        <v>606</v>
      </c>
      <c r="D210" s="1" t="s">
        <v>6</v>
      </c>
      <c r="E210" s="1" t="s">
        <v>607</v>
      </c>
      <c r="F210" s="28" t="s">
        <v>8</v>
      </c>
      <c r="G210" s="28" t="s">
        <v>8</v>
      </c>
      <c r="H210" s="28" t="s">
        <v>8</v>
      </c>
      <c r="I210" s="28" t="s">
        <v>8</v>
      </c>
      <c r="J210" s="28" t="s">
        <v>8</v>
      </c>
      <c r="K210" s="28" t="s">
        <v>8</v>
      </c>
      <c r="L210" s="28" t="s">
        <v>8</v>
      </c>
      <c r="M210" s="28" t="s">
        <v>8</v>
      </c>
      <c r="N210" s="28" t="s">
        <v>8</v>
      </c>
      <c r="O210" s="28" t="s">
        <v>8</v>
      </c>
      <c r="P210" s="28" t="s">
        <v>8</v>
      </c>
      <c r="Q210" s="28" t="s">
        <v>8</v>
      </c>
      <c r="R210" s="28" t="s">
        <v>8</v>
      </c>
      <c r="S210" s="28" t="s">
        <v>8</v>
      </c>
      <c r="T210" s="28" t="s">
        <v>8</v>
      </c>
      <c r="U210" s="28" t="s">
        <v>8</v>
      </c>
      <c r="V210" s="28" t="s">
        <v>8</v>
      </c>
      <c r="W210" s="28" t="s">
        <v>8</v>
      </c>
      <c r="X210" s="28" t="s">
        <v>8</v>
      </c>
      <c r="Y210" s="28" t="s">
        <v>8</v>
      </c>
      <c r="Z210" s="28" t="s">
        <v>8</v>
      </c>
      <c r="AA210" s="28" t="s">
        <v>8</v>
      </c>
      <c r="AB210" s="28" t="s">
        <v>8</v>
      </c>
      <c r="AC210" s="28" t="s">
        <v>8</v>
      </c>
      <c r="AD210" s="28" t="s">
        <v>8</v>
      </c>
      <c r="AE210" s="28" t="s">
        <v>8</v>
      </c>
      <c r="AF210" s="28" t="s">
        <v>8</v>
      </c>
      <c r="AG210" s="28" t="s">
        <v>8</v>
      </c>
      <c r="AH210" s="28" t="s">
        <v>8</v>
      </c>
      <c r="AI210" s="28" t="s">
        <v>8</v>
      </c>
      <c r="AJ210" s="28" t="s">
        <v>8</v>
      </c>
      <c r="AK210" s="28" t="s">
        <v>8</v>
      </c>
      <c r="AL210" s="28" t="s">
        <v>8</v>
      </c>
      <c r="AM210" s="28" t="s">
        <v>8</v>
      </c>
      <c r="AN210" s="28" t="s">
        <v>8</v>
      </c>
      <c r="AO210" s="28" t="s">
        <v>8</v>
      </c>
      <c r="AP210" s="28" t="s">
        <v>8</v>
      </c>
      <c r="AQ210" s="28" t="s">
        <v>8</v>
      </c>
      <c r="AR210" s="28" t="s">
        <v>8</v>
      </c>
      <c r="AS210" s="28" t="s">
        <v>8</v>
      </c>
      <c r="AT210" s="28" t="s">
        <v>8</v>
      </c>
      <c r="AU210" s="28" t="s">
        <v>8</v>
      </c>
      <c r="AV210" s="28" t="s">
        <v>8</v>
      </c>
      <c r="AW210" s="28" t="s">
        <v>8</v>
      </c>
    </row>
    <row r="211" spans="2:49">
      <c r="B211" s="1" t="s">
        <v>608</v>
      </c>
      <c r="C211" s="1" t="s">
        <v>609</v>
      </c>
      <c r="D211" s="1" t="s">
        <v>21</v>
      </c>
      <c r="E211" s="1" t="s">
        <v>610</v>
      </c>
      <c r="F211" s="28" t="s">
        <v>8</v>
      </c>
      <c r="G211" s="28" t="s">
        <v>8</v>
      </c>
      <c r="H211" s="28" t="s">
        <v>8</v>
      </c>
      <c r="I211" s="28" t="s">
        <v>8</v>
      </c>
      <c r="J211" s="28" t="s">
        <v>8</v>
      </c>
      <c r="K211" s="28" t="s">
        <v>8</v>
      </c>
      <c r="L211" s="28" t="s">
        <v>8</v>
      </c>
      <c r="M211" s="28" t="s">
        <v>8</v>
      </c>
      <c r="N211" s="28" t="s">
        <v>8</v>
      </c>
      <c r="O211" s="28" t="s">
        <v>8</v>
      </c>
      <c r="P211" s="28" t="s">
        <v>8</v>
      </c>
      <c r="Q211" s="28" t="s">
        <v>8</v>
      </c>
      <c r="R211" s="28" t="s">
        <v>8</v>
      </c>
      <c r="S211" s="28" t="s">
        <v>8</v>
      </c>
      <c r="T211" s="28" t="s">
        <v>8</v>
      </c>
      <c r="U211" s="28" t="s">
        <v>8</v>
      </c>
      <c r="V211" s="28" t="s">
        <v>8</v>
      </c>
      <c r="W211" s="28" t="s">
        <v>8</v>
      </c>
      <c r="X211" s="28" t="s">
        <v>8</v>
      </c>
      <c r="Y211" s="28" t="s">
        <v>8</v>
      </c>
      <c r="Z211" s="28">
        <v>20</v>
      </c>
      <c r="AA211" s="28">
        <v>20</v>
      </c>
      <c r="AB211" s="28">
        <v>20</v>
      </c>
      <c r="AC211" s="28">
        <v>14</v>
      </c>
      <c r="AD211" s="28">
        <v>12.33</v>
      </c>
      <c r="AE211" s="28">
        <v>10</v>
      </c>
      <c r="AF211" s="28">
        <v>10</v>
      </c>
      <c r="AG211" s="28">
        <v>10</v>
      </c>
      <c r="AH211" s="28">
        <v>10</v>
      </c>
      <c r="AI211" s="28">
        <v>10</v>
      </c>
      <c r="AJ211" s="28">
        <v>10</v>
      </c>
      <c r="AK211" s="28">
        <v>10</v>
      </c>
      <c r="AL211" s="28">
        <v>10</v>
      </c>
      <c r="AM211" s="28">
        <v>15</v>
      </c>
      <c r="AN211" s="28">
        <v>15</v>
      </c>
      <c r="AO211" s="28">
        <v>15</v>
      </c>
      <c r="AP211" s="28">
        <v>15</v>
      </c>
      <c r="AQ211" s="28">
        <v>15</v>
      </c>
      <c r="AR211" s="28">
        <v>15</v>
      </c>
      <c r="AS211" s="28">
        <v>15</v>
      </c>
      <c r="AT211" s="28">
        <v>15</v>
      </c>
      <c r="AU211" s="28">
        <v>15</v>
      </c>
      <c r="AV211" s="28">
        <v>15</v>
      </c>
      <c r="AW211" s="28">
        <v>15</v>
      </c>
    </row>
    <row r="212" spans="2:49">
      <c r="B212" s="1" t="s">
        <v>611</v>
      </c>
      <c r="C212" s="1" t="s">
        <v>612</v>
      </c>
      <c r="D212" s="1" t="s">
        <v>9</v>
      </c>
      <c r="E212" s="1" t="s">
        <v>613</v>
      </c>
      <c r="F212" s="28" t="s">
        <v>8</v>
      </c>
      <c r="G212" s="28" t="s">
        <v>8</v>
      </c>
      <c r="H212" s="28" t="s">
        <v>8</v>
      </c>
      <c r="I212" s="28" t="s">
        <v>8</v>
      </c>
      <c r="J212" s="28" t="s">
        <v>8</v>
      </c>
      <c r="K212" s="28" t="s">
        <v>8</v>
      </c>
      <c r="L212" s="28" t="s">
        <v>8</v>
      </c>
      <c r="M212" s="28" t="s">
        <v>8</v>
      </c>
      <c r="N212" s="28" t="s">
        <v>8</v>
      </c>
      <c r="O212" s="28" t="s">
        <v>8</v>
      </c>
      <c r="P212" s="28" t="s">
        <v>8</v>
      </c>
      <c r="Q212" s="28" t="s">
        <v>8</v>
      </c>
      <c r="R212" s="28" t="s">
        <v>8</v>
      </c>
      <c r="S212" s="28" t="s">
        <v>8</v>
      </c>
      <c r="T212" s="28" t="s">
        <v>8</v>
      </c>
      <c r="U212" s="28" t="s">
        <v>8</v>
      </c>
      <c r="V212" s="28" t="s">
        <v>8</v>
      </c>
      <c r="W212" s="28" t="s">
        <v>8</v>
      </c>
      <c r="X212" s="28" t="s">
        <v>8</v>
      </c>
      <c r="Y212" s="28" t="s">
        <v>8</v>
      </c>
      <c r="Z212" s="28" t="s">
        <v>8</v>
      </c>
      <c r="AA212" s="28" t="s">
        <v>8</v>
      </c>
      <c r="AB212" s="28" t="s">
        <v>8</v>
      </c>
      <c r="AC212" s="28" t="s">
        <v>8</v>
      </c>
      <c r="AD212" s="28" t="s">
        <v>8</v>
      </c>
      <c r="AE212" s="28" t="s">
        <v>8</v>
      </c>
      <c r="AF212" s="28" t="s">
        <v>8</v>
      </c>
      <c r="AG212" s="28" t="s">
        <v>8</v>
      </c>
      <c r="AH212" s="28" t="s">
        <v>8</v>
      </c>
      <c r="AI212" s="28" t="s">
        <v>8</v>
      </c>
      <c r="AJ212" s="28" t="s">
        <v>8</v>
      </c>
      <c r="AK212" s="28" t="s">
        <v>8</v>
      </c>
      <c r="AL212" s="28" t="s">
        <v>8</v>
      </c>
      <c r="AM212" s="28" t="s">
        <v>8</v>
      </c>
      <c r="AN212" s="28">
        <v>20</v>
      </c>
      <c r="AO212" s="28">
        <v>20</v>
      </c>
      <c r="AP212" s="28">
        <v>20</v>
      </c>
      <c r="AQ212" s="28">
        <v>25</v>
      </c>
      <c r="AR212" s="28">
        <v>25</v>
      </c>
      <c r="AS212" s="28">
        <v>25</v>
      </c>
      <c r="AT212" s="28">
        <v>25</v>
      </c>
      <c r="AU212" s="28">
        <v>25</v>
      </c>
      <c r="AV212" s="28">
        <v>30</v>
      </c>
      <c r="AW212" s="28">
        <v>30</v>
      </c>
    </row>
    <row r="213" spans="2:49">
      <c r="B213" s="1" t="s">
        <v>614</v>
      </c>
      <c r="C213" s="1" t="s">
        <v>615</v>
      </c>
      <c r="D213" s="1" t="s">
        <v>9</v>
      </c>
      <c r="E213" s="1" t="s">
        <v>616</v>
      </c>
      <c r="F213" s="28" t="s">
        <v>8</v>
      </c>
      <c r="G213" s="28" t="s">
        <v>8</v>
      </c>
      <c r="H213" s="28" t="s">
        <v>8</v>
      </c>
      <c r="I213" s="28" t="s">
        <v>8</v>
      </c>
      <c r="J213" s="28" t="s">
        <v>8</v>
      </c>
      <c r="K213" s="28" t="s">
        <v>8</v>
      </c>
      <c r="L213" s="28" t="s">
        <v>8</v>
      </c>
      <c r="M213" s="28" t="s">
        <v>8</v>
      </c>
      <c r="N213" s="28" t="s">
        <v>8</v>
      </c>
      <c r="O213" s="28" t="s">
        <v>8</v>
      </c>
      <c r="P213" s="28" t="s">
        <v>8</v>
      </c>
      <c r="Q213" s="28" t="s">
        <v>8</v>
      </c>
      <c r="R213" s="28" t="s">
        <v>8</v>
      </c>
      <c r="S213" s="28" t="s">
        <v>8</v>
      </c>
      <c r="T213" s="28" t="s">
        <v>8</v>
      </c>
      <c r="U213" s="28" t="s">
        <v>8</v>
      </c>
      <c r="V213" s="28" t="s">
        <v>8</v>
      </c>
      <c r="W213" s="28" t="s">
        <v>8</v>
      </c>
      <c r="X213" s="28" t="s">
        <v>8</v>
      </c>
      <c r="Y213" s="28" t="s">
        <v>8</v>
      </c>
      <c r="Z213" s="28" t="s">
        <v>8</v>
      </c>
      <c r="AA213" s="28" t="s">
        <v>8</v>
      </c>
      <c r="AB213" s="28" t="s">
        <v>8</v>
      </c>
      <c r="AC213" s="28" t="s">
        <v>8</v>
      </c>
      <c r="AD213" s="28" t="s">
        <v>8</v>
      </c>
      <c r="AE213" s="28" t="s">
        <v>8</v>
      </c>
      <c r="AF213" s="28" t="s">
        <v>8</v>
      </c>
      <c r="AG213" s="28" t="s">
        <v>8</v>
      </c>
      <c r="AH213" s="28" t="s">
        <v>8</v>
      </c>
      <c r="AI213" s="28" t="s">
        <v>8</v>
      </c>
      <c r="AJ213" s="28" t="s">
        <v>8</v>
      </c>
      <c r="AK213" s="28" t="s">
        <v>8</v>
      </c>
      <c r="AL213" s="28" t="s">
        <v>8</v>
      </c>
      <c r="AM213" s="28" t="s">
        <v>8</v>
      </c>
      <c r="AN213" s="28" t="s">
        <v>8</v>
      </c>
      <c r="AO213" s="28">
        <v>25</v>
      </c>
      <c r="AP213" s="28">
        <v>25</v>
      </c>
      <c r="AQ213" s="28">
        <v>25</v>
      </c>
      <c r="AR213" s="28">
        <v>25</v>
      </c>
      <c r="AS213" s="28">
        <v>25</v>
      </c>
      <c r="AT213" s="28">
        <v>25</v>
      </c>
      <c r="AU213" s="28">
        <v>25</v>
      </c>
      <c r="AV213" s="28">
        <v>25</v>
      </c>
      <c r="AW213" s="28">
        <v>25</v>
      </c>
    </row>
    <row r="214" spans="2:49">
      <c r="B214" s="1" t="s">
        <v>617</v>
      </c>
      <c r="C214" s="1" t="s">
        <v>618</v>
      </c>
      <c r="D214" s="1" t="s">
        <v>37</v>
      </c>
      <c r="E214" s="1" t="s">
        <v>619</v>
      </c>
      <c r="F214" s="28" t="s">
        <v>8</v>
      </c>
      <c r="G214" s="28" t="s">
        <v>8</v>
      </c>
      <c r="H214" s="28" t="s">
        <v>8</v>
      </c>
      <c r="I214" s="28" t="s">
        <v>8</v>
      </c>
      <c r="J214" s="28" t="s">
        <v>8</v>
      </c>
      <c r="K214" s="28" t="s">
        <v>8</v>
      </c>
      <c r="L214" s="28" t="s">
        <v>8</v>
      </c>
      <c r="M214" s="28" t="s">
        <v>8</v>
      </c>
      <c r="N214" s="28" t="s">
        <v>8</v>
      </c>
      <c r="O214" s="28" t="s">
        <v>8</v>
      </c>
      <c r="P214" s="28" t="s">
        <v>8</v>
      </c>
      <c r="Q214" s="28" t="s">
        <v>8</v>
      </c>
      <c r="R214" s="28" t="s">
        <v>8</v>
      </c>
      <c r="S214" s="28" t="s">
        <v>8</v>
      </c>
      <c r="T214" s="28" t="s">
        <v>8</v>
      </c>
      <c r="U214" s="28">
        <v>45</v>
      </c>
      <c r="V214" s="28">
        <v>45</v>
      </c>
      <c r="W214" s="28">
        <v>38</v>
      </c>
      <c r="X214" s="28">
        <v>38</v>
      </c>
      <c r="Y214" s="28">
        <v>38</v>
      </c>
      <c r="Z214" s="28">
        <v>38</v>
      </c>
      <c r="AA214" s="28">
        <v>38</v>
      </c>
      <c r="AB214" s="28">
        <v>36</v>
      </c>
      <c r="AC214" s="28" t="s">
        <v>8</v>
      </c>
      <c r="AD214" s="28">
        <v>36</v>
      </c>
      <c r="AE214" s="28">
        <v>36</v>
      </c>
      <c r="AF214" s="28" t="s">
        <v>8</v>
      </c>
      <c r="AG214" s="28" t="s">
        <v>8</v>
      </c>
      <c r="AH214" s="28" t="s">
        <v>8</v>
      </c>
      <c r="AI214" s="28" t="s">
        <v>8</v>
      </c>
      <c r="AJ214" s="28" t="s">
        <v>8</v>
      </c>
      <c r="AK214" s="28" t="s">
        <v>8</v>
      </c>
      <c r="AL214" s="28" t="s">
        <v>8</v>
      </c>
      <c r="AM214" s="28">
        <v>36</v>
      </c>
      <c r="AN214" s="28">
        <v>34.5</v>
      </c>
      <c r="AO214" s="28">
        <v>34.5</v>
      </c>
      <c r="AP214" s="28">
        <v>36</v>
      </c>
      <c r="AQ214" s="28">
        <v>36</v>
      </c>
      <c r="AR214" s="28">
        <v>36</v>
      </c>
      <c r="AS214" s="28">
        <v>36</v>
      </c>
      <c r="AT214" s="28">
        <v>36</v>
      </c>
      <c r="AU214" s="28">
        <v>36</v>
      </c>
      <c r="AV214" s="28">
        <v>36</v>
      </c>
      <c r="AW214" s="28">
        <v>36</v>
      </c>
    </row>
    <row r="215" spans="2:49">
      <c r="B215" s="1" t="s">
        <v>620</v>
      </c>
      <c r="C215" s="1" t="s">
        <v>621</v>
      </c>
      <c r="D215" s="1" t="s">
        <v>21</v>
      </c>
      <c r="E215" s="1" t="s">
        <v>622</v>
      </c>
      <c r="F215" s="28" t="s">
        <v>8</v>
      </c>
      <c r="G215" s="28" t="s">
        <v>8</v>
      </c>
      <c r="H215" s="28" t="s">
        <v>8</v>
      </c>
      <c r="I215" s="28" t="s">
        <v>8</v>
      </c>
      <c r="J215" s="28" t="s">
        <v>8</v>
      </c>
      <c r="K215" s="28" t="s">
        <v>8</v>
      </c>
      <c r="L215" s="28" t="s">
        <v>8</v>
      </c>
      <c r="M215" s="28" t="s">
        <v>8</v>
      </c>
      <c r="N215" s="28" t="s">
        <v>8</v>
      </c>
      <c r="O215" s="28" t="s">
        <v>8</v>
      </c>
      <c r="P215" s="28" t="s">
        <v>8</v>
      </c>
      <c r="Q215" s="28" t="s">
        <v>8</v>
      </c>
      <c r="R215" s="28" t="s">
        <v>8</v>
      </c>
      <c r="S215" s="28">
        <v>45</v>
      </c>
      <c r="T215" s="28">
        <v>40</v>
      </c>
      <c r="U215" s="28">
        <v>40</v>
      </c>
      <c r="V215" s="28">
        <v>40</v>
      </c>
      <c r="W215" s="28">
        <v>40</v>
      </c>
      <c r="X215" s="28">
        <v>40</v>
      </c>
      <c r="Y215" s="28">
        <v>40</v>
      </c>
      <c r="Z215" s="28">
        <v>29</v>
      </c>
      <c r="AA215" s="28">
        <v>29</v>
      </c>
      <c r="AB215" s="28">
        <v>25</v>
      </c>
      <c r="AC215" s="28">
        <v>25</v>
      </c>
      <c r="AD215" s="28">
        <v>19</v>
      </c>
      <c r="AE215" s="28">
        <v>19</v>
      </c>
      <c r="AF215" s="28">
        <v>19</v>
      </c>
      <c r="AG215" s="28">
        <v>19</v>
      </c>
      <c r="AH215" s="28">
        <v>19</v>
      </c>
      <c r="AI215" s="28">
        <v>19</v>
      </c>
      <c r="AJ215" s="28">
        <v>19</v>
      </c>
      <c r="AK215" s="28">
        <v>19</v>
      </c>
      <c r="AL215" s="28">
        <v>19</v>
      </c>
      <c r="AM215" s="28">
        <v>23</v>
      </c>
      <c r="AN215" s="28">
        <v>22</v>
      </c>
      <c r="AO215" s="28">
        <v>22</v>
      </c>
      <c r="AP215" s="28">
        <v>22</v>
      </c>
      <c r="AQ215" s="28">
        <v>21</v>
      </c>
      <c r="AR215" s="28">
        <v>21</v>
      </c>
      <c r="AS215" s="28">
        <v>21</v>
      </c>
      <c r="AT215" s="28">
        <v>21</v>
      </c>
      <c r="AU215" s="28">
        <v>21</v>
      </c>
      <c r="AV215" s="28">
        <v>21</v>
      </c>
      <c r="AW215" s="28">
        <v>21</v>
      </c>
    </row>
    <row r="216" spans="2:49">
      <c r="B216" s="1" t="s">
        <v>623</v>
      </c>
      <c r="C216" s="1" t="s">
        <v>624</v>
      </c>
      <c r="D216" s="1" t="s">
        <v>21</v>
      </c>
      <c r="E216" s="1" t="s">
        <v>625</v>
      </c>
      <c r="F216" s="28" t="s">
        <v>8</v>
      </c>
      <c r="G216" s="28" t="s">
        <v>8</v>
      </c>
      <c r="H216" s="28" t="s">
        <v>8</v>
      </c>
      <c r="I216" s="28" t="s">
        <v>8</v>
      </c>
      <c r="J216" s="28" t="s">
        <v>8</v>
      </c>
      <c r="K216" s="28" t="s">
        <v>8</v>
      </c>
      <c r="L216" s="28" t="s">
        <v>8</v>
      </c>
      <c r="M216" s="28" t="s">
        <v>8</v>
      </c>
      <c r="N216" s="28" t="s">
        <v>8</v>
      </c>
      <c r="O216" s="28" t="s">
        <v>8</v>
      </c>
      <c r="P216" s="28" t="s">
        <v>8</v>
      </c>
      <c r="Q216" s="28" t="s">
        <v>8</v>
      </c>
      <c r="R216" s="28" t="s">
        <v>8</v>
      </c>
      <c r="S216" s="28" t="s">
        <v>8</v>
      </c>
      <c r="T216" s="28" t="s">
        <v>8</v>
      </c>
      <c r="U216" s="28" t="s">
        <v>8</v>
      </c>
      <c r="V216" s="28">
        <v>30</v>
      </c>
      <c r="W216" s="28">
        <v>25</v>
      </c>
      <c r="X216" s="28">
        <v>25</v>
      </c>
      <c r="Y216" s="28">
        <v>25</v>
      </c>
      <c r="Z216" s="28">
        <v>25</v>
      </c>
      <c r="AA216" s="28">
        <v>25</v>
      </c>
      <c r="AB216" s="28">
        <v>25</v>
      </c>
      <c r="AC216" s="28">
        <v>25</v>
      </c>
      <c r="AD216" s="28">
        <v>25</v>
      </c>
      <c r="AE216" s="28">
        <v>25</v>
      </c>
      <c r="AF216" s="28">
        <v>25</v>
      </c>
      <c r="AG216" s="28">
        <v>23</v>
      </c>
      <c r="AH216" s="28">
        <v>22</v>
      </c>
      <c r="AI216" s="28">
        <v>21</v>
      </c>
      <c r="AJ216" s="28">
        <v>20</v>
      </c>
      <c r="AK216" s="28">
        <v>20</v>
      </c>
      <c r="AL216" s="28">
        <v>18</v>
      </c>
      <c r="AM216" s="28">
        <v>17</v>
      </c>
      <c r="AN216" s="28">
        <v>17</v>
      </c>
      <c r="AO216" s="28">
        <v>17</v>
      </c>
      <c r="AP216" s="28">
        <v>17</v>
      </c>
      <c r="AQ216" s="28">
        <v>19</v>
      </c>
      <c r="AR216" s="28">
        <v>19</v>
      </c>
      <c r="AS216" s="28">
        <v>19</v>
      </c>
      <c r="AT216" s="28">
        <v>19</v>
      </c>
      <c r="AU216" s="28">
        <v>19</v>
      </c>
      <c r="AV216" s="28">
        <v>19</v>
      </c>
      <c r="AW216" s="28">
        <v>19</v>
      </c>
    </row>
    <row r="217" spans="2:49">
      <c r="B217" s="1" t="s">
        <v>626</v>
      </c>
      <c r="C217" s="1" t="s">
        <v>627</v>
      </c>
      <c r="D217" s="1" t="s">
        <v>21</v>
      </c>
      <c r="E217" s="1" t="s">
        <v>628</v>
      </c>
      <c r="F217" s="28" t="s">
        <v>8</v>
      </c>
      <c r="G217" s="28">
        <v>57.8</v>
      </c>
      <c r="H217" s="28">
        <v>57.8</v>
      </c>
      <c r="I217" s="28">
        <v>58.1</v>
      </c>
      <c r="J217" s="28">
        <v>56.6</v>
      </c>
      <c r="K217" s="28">
        <v>56.6</v>
      </c>
      <c r="L217" s="28">
        <v>56.6</v>
      </c>
      <c r="M217" s="28">
        <v>56.6</v>
      </c>
      <c r="N217" s="28">
        <v>56.6</v>
      </c>
      <c r="O217" s="28">
        <v>60.1</v>
      </c>
      <c r="P217" s="28">
        <v>53</v>
      </c>
      <c r="Q217" s="28">
        <v>30</v>
      </c>
      <c r="R217" s="28">
        <v>30</v>
      </c>
      <c r="S217" s="28">
        <v>30</v>
      </c>
      <c r="T217" s="28">
        <v>28</v>
      </c>
      <c r="U217" s="28">
        <v>28</v>
      </c>
      <c r="V217" s="28">
        <v>28</v>
      </c>
      <c r="W217" s="28">
        <v>28</v>
      </c>
      <c r="X217" s="28">
        <v>28</v>
      </c>
      <c r="Y217" s="28">
        <v>28</v>
      </c>
      <c r="Z217" s="28">
        <v>28</v>
      </c>
      <c r="AA217" s="28">
        <v>28</v>
      </c>
      <c r="AB217" s="28">
        <v>28</v>
      </c>
      <c r="AC217" s="28">
        <v>28</v>
      </c>
      <c r="AD217" s="28">
        <v>28</v>
      </c>
      <c r="AE217" s="28">
        <v>28</v>
      </c>
      <c r="AF217" s="28">
        <v>28</v>
      </c>
      <c r="AG217" s="28">
        <v>28</v>
      </c>
      <c r="AH217" s="28">
        <v>28</v>
      </c>
      <c r="AI217" s="28">
        <v>26.3</v>
      </c>
      <c r="AJ217" s="28">
        <v>26.3</v>
      </c>
      <c r="AK217" s="28">
        <v>26.3</v>
      </c>
      <c r="AL217" s="28">
        <v>26.3</v>
      </c>
      <c r="AM217" s="28">
        <v>22</v>
      </c>
      <c r="AN217" s="28">
        <v>22</v>
      </c>
      <c r="AO217" s="28">
        <v>22</v>
      </c>
      <c r="AP217" s="28">
        <v>22</v>
      </c>
      <c r="AQ217" s="28">
        <v>22</v>
      </c>
      <c r="AR217" s="28">
        <v>22</v>
      </c>
      <c r="AS217" s="28">
        <v>21.4</v>
      </c>
      <c r="AT217" s="28">
        <v>21.4</v>
      </c>
      <c r="AU217" s="28">
        <v>20.6</v>
      </c>
      <c r="AV217" s="28">
        <v>20.6</v>
      </c>
      <c r="AW217" s="28">
        <v>20.6</v>
      </c>
    </row>
    <row r="218" spans="2:49">
      <c r="B218" s="1" t="s">
        <v>629</v>
      </c>
      <c r="C218" s="1" t="s">
        <v>630</v>
      </c>
      <c r="D218" s="1" t="s">
        <v>9</v>
      </c>
      <c r="E218" s="1" t="s">
        <v>631</v>
      </c>
      <c r="F218" s="28">
        <v>37.5</v>
      </c>
      <c r="G218" s="28" t="s">
        <v>8</v>
      </c>
      <c r="H218" s="28" t="s">
        <v>8</v>
      </c>
      <c r="I218" s="28" t="s">
        <v>8</v>
      </c>
      <c r="J218" s="28" t="s">
        <v>8</v>
      </c>
      <c r="K218" s="28" t="s">
        <v>8</v>
      </c>
      <c r="L218" s="28" t="s">
        <v>8</v>
      </c>
      <c r="M218" s="28" t="s">
        <v>8</v>
      </c>
      <c r="N218" s="28" t="s">
        <v>8</v>
      </c>
      <c r="O218" s="28" t="s">
        <v>8</v>
      </c>
      <c r="P218" s="28" t="s">
        <v>8</v>
      </c>
      <c r="Q218" s="28">
        <v>37.5</v>
      </c>
      <c r="R218" s="28">
        <v>37.5</v>
      </c>
      <c r="S218" s="28">
        <v>37.5</v>
      </c>
      <c r="T218" s="28">
        <v>37.5</v>
      </c>
      <c r="U218" s="28">
        <v>37.5</v>
      </c>
      <c r="V218" s="28">
        <v>37.5</v>
      </c>
      <c r="W218" s="28">
        <v>37.5</v>
      </c>
      <c r="X218" s="28">
        <v>37.5</v>
      </c>
      <c r="Y218" s="28">
        <v>37.5</v>
      </c>
      <c r="Z218" s="28">
        <v>37.5</v>
      </c>
      <c r="AA218" s="28">
        <v>37.5</v>
      </c>
      <c r="AB218" s="28">
        <v>30</v>
      </c>
      <c r="AC218" s="28">
        <v>30</v>
      </c>
      <c r="AD218" s="28">
        <v>30</v>
      </c>
      <c r="AE218" s="28">
        <v>30</v>
      </c>
      <c r="AF218" s="28">
        <v>30</v>
      </c>
      <c r="AG218" s="28">
        <v>30</v>
      </c>
      <c r="AH218" s="28">
        <v>30</v>
      </c>
      <c r="AI218" s="28">
        <v>30</v>
      </c>
      <c r="AJ218" s="28">
        <v>30</v>
      </c>
      <c r="AK218" s="28">
        <v>30</v>
      </c>
      <c r="AL218" s="28">
        <v>30</v>
      </c>
      <c r="AM218" s="28">
        <v>30</v>
      </c>
      <c r="AN218" s="28">
        <v>27.5</v>
      </c>
      <c r="AO218" s="28">
        <v>27.5</v>
      </c>
      <c r="AP218" s="28">
        <v>27.5</v>
      </c>
      <c r="AQ218" s="28">
        <v>27.5</v>
      </c>
      <c r="AR218" s="28">
        <v>28</v>
      </c>
      <c r="AS218" s="28">
        <v>27.5</v>
      </c>
      <c r="AT218" s="28">
        <v>27.5</v>
      </c>
      <c r="AU218" s="28">
        <v>27.5</v>
      </c>
      <c r="AV218" s="28">
        <v>27.5</v>
      </c>
      <c r="AW218" s="28">
        <v>27.5</v>
      </c>
    </row>
    <row r="219" spans="2:49">
      <c r="B219" s="1" t="s">
        <v>632</v>
      </c>
      <c r="C219" s="1" t="s">
        <v>633</v>
      </c>
      <c r="D219" s="1" t="s">
        <v>6</v>
      </c>
      <c r="E219" s="1" t="s">
        <v>795</v>
      </c>
      <c r="F219" s="28" t="s">
        <v>8</v>
      </c>
      <c r="G219" s="28" t="s">
        <v>8</v>
      </c>
      <c r="H219" s="28" t="s">
        <v>8</v>
      </c>
      <c r="I219" s="28" t="s">
        <v>8</v>
      </c>
      <c r="J219" s="28" t="s">
        <v>8</v>
      </c>
      <c r="K219" s="28" t="s">
        <v>8</v>
      </c>
      <c r="L219" s="28" t="s">
        <v>8</v>
      </c>
      <c r="M219" s="28" t="s">
        <v>8</v>
      </c>
      <c r="N219" s="28" t="s">
        <v>8</v>
      </c>
      <c r="O219" s="28" t="s">
        <v>8</v>
      </c>
      <c r="P219" s="28" t="s">
        <v>8</v>
      </c>
      <c r="Q219" s="28" t="s">
        <v>8</v>
      </c>
      <c r="R219" s="28" t="s">
        <v>8</v>
      </c>
      <c r="S219" s="28" t="s">
        <v>8</v>
      </c>
      <c r="T219" s="28" t="s">
        <v>8</v>
      </c>
      <c r="U219" s="28" t="s">
        <v>8</v>
      </c>
      <c r="V219" s="28" t="s">
        <v>8</v>
      </c>
      <c r="W219" s="28" t="s">
        <v>8</v>
      </c>
      <c r="X219" s="28" t="s">
        <v>8</v>
      </c>
      <c r="Y219" s="28" t="s">
        <v>8</v>
      </c>
      <c r="Z219" s="28" t="s">
        <v>8</v>
      </c>
      <c r="AA219" s="28" t="s">
        <v>8</v>
      </c>
      <c r="AB219" s="28" t="s">
        <v>8</v>
      </c>
      <c r="AC219" s="28" t="s">
        <v>8</v>
      </c>
      <c r="AD219" s="28" t="s">
        <v>8</v>
      </c>
      <c r="AE219" s="28" t="s">
        <v>8</v>
      </c>
      <c r="AF219" s="28" t="s">
        <v>8</v>
      </c>
      <c r="AG219" s="28" t="s">
        <v>8</v>
      </c>
      <c r="AH219" s="28" t="s">
        <v>8</v>
      </c>
      <c r="AI219" s="28" t="s">
        <v>8</v>
      </c>
      <c r="AJ219" s="28" t="s">
        <v>8</v>
      </c>
      <c r="AK219" s="28">
        <v>34.5</v>
      </c>
      <c r="AL219" s="28">
        <v>34.5</v>
      </c>
      <c r="AM219" s="28">
        <v>34.5</v>
      </c>
      <c r="AN219" s="28">
        <v>34.5</v>
      </c>
      <c r="AO219" s="28">
        <v>34.5</v>
      </c>
      <c r="AP219" s="28">
        <v>34.5</v>
      </c>
      <c r="AQ219" s="28">
        <v>34.5</v>
      </c>
      <c r="AR219" s="28">
        <v>35</v>
      </c>
      <c r="AS219" s="28">
        <v>35</v>
      </c>
      <c r="AT219" s="28">
        <v>35</v>
      </c>
      <c r="AU219" s="28">
        <v>35</v>
      </c>
      <c r="AV219" s="28">
        <v>34.5</v>
      </c>
      <c r="AW219" s="28">
        <v>34.5</v>
      </c>
    </row>
    <row r="220" spans="2:49">
      <c r="B220" s="1" t="s">
        <v>634</v>
      </c>
      <c r="C220" s="1" t="s">
        <v>635</v>
      </c>
      <c r="D220" s="1" t="s">
        <v>9</v>
      </c>
      <c r="E220" s="1" t="s">
        <v>636</v>
      </c>
      <c r="F220" s="28">
        <v>35</v>
      </c>
      <c r="G220" s="28" t="s">
        <v>8</v>
      </c>
      <c r="H220" s="28" t="s">
        <v>8</v>
      </c>
      <c r="I220" s="28" t="s">
        <v>8</v>
      </c>
      <c r="J220" s="28" t="s">
        <v>8</v>
      </c>
      <c r="K220" s="28" t="s">
        <v>8</v>
      </c>
      <c r="L220" s="28" t="s">
        <v>8</v>
      </c>
      <c r="M220" s="28" t="s">
        <v>8</v>
      </c>
      <c r="N220" s="28" t="s">
        <v>8</v>
      </c>
      <c r="O220" s="28" t="s">
        <v>8</v>
      </c>
      <c r="P220" s="28" t="s">
        <v>8</v>
      </c>
      <c r="Q220" s="28" t="s">
        <v>8</v>
      </c>
      <c r="R220" s="28" t="s">
        <v>8</v>
      </c>
      <c r="S220" s="28" t="s">
        <v>8</v>
      </c>
      <c r="T220" s="28" t="s">
        <v>8</v>
      </c>
      <c r="U220" s="28" t="s">
        <v>8</v>
      </c>
      <c r="V220" s="28" t="s">
        <v>8</v>
      </c>
      <c r="W220" s="28" t="s">
        <v>8</v>
      </c>
      <c r="X220" s="28" t="s">
        <v>8</v>
      </c>
      <c r="Y220" s="28" t="s">
        <v>8</v>
      </c>
      <c r="Z220" s="28">
        <v>40</v>
      </c>
      <c r="AA220" s="28">
        <v>40</v>
      </c>
      <c r="AB220" s="28">
        <v>40</v>
      </c>
      <c r="AC220" s="28">
        <v>40</v>
      </c>
      <c r="AD220" s="28">
        <v>40</v>
      </c>
      <c r="AE220" s="28">
        <v>40</v>
      </c>
      <c r="AF220" s="28">
        <v>40</v>
      </c>
      <c r="AG220" s="28">
        <v>40</v>
      </c>
      <c r="AH220" s="28">
        <v>40</v>
      </c>
      <c r="AI220" s="28">
        <v>40</v>
      </c>
      <c r="AJ220" s="28">
        <v>33</v>
      </c>
      <c r="AK220" s="28">
        <v>33</v>
      </c>
      <c r="AL220" s="28">
        <v>33</v>
      </c>
      <c r="AM220" s="28">
        <v>30</v>
      </c>
      <c r="AN220" s="28">
        <v>30</v>
      </c>
      <c r="AO220" s="28">
        <v>30</v>
      </c>
      <c r="AP220" s="28">
        <v>30</v>
      </c>
      <c r="AQ220" s="28">
        <v>30</v>
      </c>
      <c r="AR220" s="28">
        <v>30</v>
      </c>
      <c r="AS220" s="28">
        <v>30</v>
      </c>
      <c r="AT220" s="28">
        <v>30</v>
      </c>
      <c r="AU220" s="28">
        <v>30</v>
      </c>
      <c r="AV220" s="28">
        <v>25</v>
      </c>
      <c r="AW220" s="28">
        <v>25</v>
      </c>
    </row>
    <row r="221" spans="2:49">
      <c r="B221" s="1" t="s">
        <v>637</v>
      </c>
      <c r="C221" s="1" t="s">
        <v>638</v>
      </c>
      <c r="D221" s="1" t="s">
        <v>11</v>
      </c>
      <c r="E221" s="1" t="s">
        <v>639</v>
      </c>
      <c r="F221" s="28" t="s">
        <v>8</v>
      </c>
      <c r="G221" s="28" t="s">
        <v>8</v>
      </c>
      <c r="H221" s="28" t="s">
        <v>8</v>
      </c>
      <c r="I221" s="28" t="s">
        <v>8</v>
      </c>
      <c r="J221" s="28" t="s">
        <v>8</v>
      </c>
      <c r="K221" s="28" t="s">
        <v>8</v>
      </c>
      <c r="L221" s="28" t="s">
        <v>8</v>
      </c>
      <c r="M221" s="28" t="s">
        <v>8</v>
      </c>
      <c r="N221" s="28" t="s">
        <v>8</v>
      </c>
      <c r="O221" s="28" t="s">
        <v>8</v>
      </c>
      <c r="P221" s="28" t="s">
        <v>8</v>
      </c>
      <c r="Q221" s="28" t="s">
        <v>8</v>
      </c>
      <c r="R221" s="28" t="s">
        <v>8</v>
      </c>
      <c r="S221" s="28" t="s">
        <v>8</v>
      </c>
      <c r="T221" s="28">
        <v>45</v>
      </c>
      <c r="U221" s="28" t="s">
        <v>8</v>
      </c>
      <c r="V221" s="28">
        <v>50</v>
      </c>
      <c r="W221" s="28">
        <v>50</v>
      </c>
      <c r="X221" s="28">
        <v>50</v>
      </c>
      <c r="Y221" s="28">
        <v>50</v>
      </c>
      <c r="Z221" s="28" t="s">
        <v>8</v>
      </c>
      <c r="AA221" s="28" t="s">
        <v>8</v>
      </c>
      <c r="AB221" s="28" t="s">
        <v>8</v>
      </c>
      <c r="AC221" s="28">
        <v>35</v>
      </c>
      <c r="AD221" s="28">
        <v>35</v>
      </c>
      <c r="AE221" s="28">
        <v>35</v>
      </c>
      <c r="AF221" s="28">
        <v>35</v>
      </c>
      <c r="AG221" s="28">
        <v>28</v>
      </c>
      <c r="AH221" s="28">
        <v>28</v>
      </c>
      <c r="AI221" s="28">
        <v>28</v>
      </c>
      <c r="AJ221" s="28">
        <v>28</v>
      </c>
      <c r="AK221" s="28">
        <v>28</v>
      </c>
      <c r="AL221" s="28">
        <v>28</v>
      </c>
      <c r="AM221" s="28">
        <v>28</v>
      </c>
      <c r="AN221" s="28">
        <v>28</v>
      </c>
      <c r="AO221" s="28">
        <v>28</v>
      </c>
      <c r="AP221" s="28">
        <v>28</v>
      </c>
      <c r="AQ221" s="28">
        <v>28</v>
      </c>
      <c r="AR221" s="28">
        <v>28</v>
      </c>
      <c r="AS221" s="28">
        <v>28</v>
      </c>
      <c r="AT221" s="28">
        <v>28</v>
      </c>
      <c r="AU221" s="28">
        <v>28</v>
      </c>
      <c r="AV221" s="28">
        <v>28</v>
      </c>
      <c r="AW221" s="28">
        <v>28</v>
      </c>
    </row>
    <row r="222" spans="2:49">
      <c r="B222" s="1" t="s">
        <v>640</v>
      </c>
      <c r="C222" s="1" t="s">
        <v>641</v>
      </c>
      <c r="D222" s="1" t="s">
        <v>6</v>
      </c>
      <c r="E222" s="1" t="s">
        <v>642</v>
      </c>
      <c r="F222" s="28" t="s">
        <v>8</v>
      </c>
      <c r="G222" s="28" t="s">
        <v>8</v>
      </c>
      <c r="H222" s="28" t="s">
        <v>8</v>
      </c>
      <c r="I222" s="28" t="s">
        <v>8</v>
      </c>
      <c r="J222" s="28" t="s">
        <v>8</v>
      </c>
      <c r="K222" s="28" t="s">
        <v>8</v>
      </c>
      <c r="L222" s="28" t="s">
        <v>8</v>
      </c>
      <c r="M222" s="28" t="s">
        <v>8</v>
      </c>
      <c r="N222" s="28" t="s">
        <v>8</v>
      </c>
      <c r="O222" s="28" t="s">
        <v>8</v>
      </c>
      <c r="P222" s="28" t="s">
        <v>8</v>
      </c>
      <c r="Q222" s="28" t="s">
        <v>8</v>
      </c>
      <c r="R222" s="28" t="s">
        <v>8</v>
      </c>
      <c r="S222" s="28" t="s">
        <v>8</v>
      </c>
      <c r="T222" s="28" t="s">
        <v>8</v>
      </c>
      <c r="U222" s="28" t="s">
        <v>8</v>
      </c>
      <c r="V222" s="28" t="s">
        <v>8</v>
      </c>
      <c r="W222" s="28" t="s">
        <v>8</v>
      </c>
      <c r="X222" s="28" t="s">
        <v>8</v>
      </c>
      <c r="Y222" s="28" t="s">
        <v>8</v>
      </c>
      <c r="Z222" s="28">
        <v>0</v>
      </c>
      <c r="AA222" s="28">
        <v>0</v>
      </c>
      <c r="AB222" s="28">
        <v>0</v>
      </c>
      <c r="AC222" s="28">
        <v>0</v>
      </c>
      <c r="AD222" s="28">
        <v>0</v>
      </c>
      <c r="AE222" s="28">
        <v>0</v>
      </c>
      <c r="AF222" s="28">
        <v>0</v>
      </c>
      <c r="AG222" s="28">
        <v>0</v>
      </c>
      <c r="AH222" s="28">
        <v>0</v>
      </c>
      <c r="AI222" s="28">
        <v>0</v>
      </c>
      <c r="AJ222" s="28">
        <v>0</v>
      </c>
      <c r="AK222" s="28">
        <v>0</v>
      </c>
      <c r="AL222" s="28">
        <v>0</v>
      </c>
      <c r="AM222" s="28">
        <v>0</v>
      </c>
      <c r="AN222" s="28">
        <v>0</v>
      </c>
      <c r="AO222" s="28">
        <v>0</v>
      </c>
      <c r="AP222" s="28">
        <v>0</v>
      </c>
      <c r="AQ222" s="28">
        <v>0</v>
      </c>
      <c r="AR222" s="28">
        <v>0</v>
      </c>
      <c r="AS222" s="28">
        <v>0</v>
      </c>
      <c r="AT222" s="28">
        <v>0</v>
      </c>
      <c r="AU222" s="28">
        <v>0</v>
      </c>
      <c r="AV222" s="28">
        <v>0</v>
      </c>
      <c r="AW222" s="28">
        <v>0</v>
      </c>
    </row>
    <row r="223" spans="2:49">
      <c r="B223" s="1" t="s">
        <v>643</v>
      </c>
      <c r="C223" s="1" t="s">
        <v>644</v>
      </c>
      <c r="D223" s="1" t="s">
        <v>9</v>
      </c>
      <c r="E223" s="1" t="s">
        <v>645</v>
      </c>
      <c r="F223" s="28" t="s">
        <v>8</v>
      </c>
      <c r="G223" s="28" t="s">
        <v>8</v>
      </c>
      <c r="H223" s="28" t="s">
        <v>8</v>
      </c>
      <c r="I223" s="28" t="s">
        <v>8</v>
      </c>
      <c r="J223" s="28" t="s">
        <v>8</v>
      </c>
      <c r="K223" s="28" t="s">
        <v>8</v>
      </c>
      <c r="L223" s="28" t="s">
        <v>8</v>
      </c>
      <c r="M223" s="28" t="s">
        <v>8</v>
      </c>
      <c r="N223" s="28" t="s">
        <v>8</v>
      </c>
      <c r="O223" s="28" t="s">
        <v>8</v>
      </c>
      <c r="P223" s="28" t="s">
        <v>8</v>
      </c>
      <c r="Q223" s="28" t="s">
        <v>8</v>
      </c>
      <c r="R223" s="28" t="s">
        <v>8</v>
      </c>
      <c r="S223" s="28" t="s">
        <v>8</v>
      </c>
      <c r="T223" s="28" t="s">
        <v>8</v>
      </c>
      <c r="U223" s="28" t="s">
        <v>8</v>
      </c>
      <c r="V223" s="28" t="s">
        <v>8</v>
      </c>
      <c r="W223" s="28" t="s">
        <v>8</v>
      </c>
      <c r="X223" s="28" t="s">
        <v>8</v>
      </c>
      <c r="Y223" s="28" t="s">
        <v>8</v>
      </c>
      <c r="Z223" s="28" t="s">
        <v>8</v>
      </c>
      <c r="AA223" s="28" t="s">
        <v>8</v>
      </c>
      <c r="AB223" s="28" t="s">
        <v>8</v>
      </c>
      <c r="AC223" s="28" t="s">
        <v>8</v>
      </c>
      <c r="AD223" s="28" t="s">
        <v>8</v>
      </c>
      <c r="AE223" s="28" t="s">
        <v>8</v>
      </c>
      <c r="AF223" s="28" t="s">
        <v>8</v>
      </c>
      <c r="AG223" s="28" t="s">
        <v>8</v>
      </c>
      <c r="AH223" s="28" t="s">
        <v>8</v>
      </c>
      <c r="AI223" s="28" t="s">
        <v>8</v>
      </c>
      <c r="AJ223" s="28" t="s">
        <v>8</v>
      </c>
      <c r="AK223" s="28">
        <v>40</v>
      </c>
      <c r="AL223" s="28">
        <v>40</v>
      </c>
      <c r="AM223" s="28">
        <v>40</v>
      </c>
      <c r="AN223" s="28">
        <v>40</v>
      </c>
      <c r="AO223" s="28">
        <v>40</v>
      </c>
      <c r="AP223" s="28">
        <v>35</v>
      </c>
      <c r="AQ223" s="28">
        <v>35</v>
      </c>
      <c r="AR223" s="28">
        <v>35</v>
      </c>
      <c r="AS223" s="28">
        <v>35</v>
      </c>
      <c r="AT223" s="28">
        <v>35</v>
      </c>
      <c r="AU223" s="28">
        <v>35</v>
      </c>
      <c r="AV223" s="28">
        <v>35</v>
      </c>
      <c r="AW223" s="28">
        <v>35</v>
      </c>
    </row>
    <row r="224" spans="2:49">
      <c r="B224" s="1" t="s">
        <v>646</v>
      </c>
      <c r="C224" s="1" t="s">
        <v>647</v>
      </c>
      <c r="D224" s="1" t="s">
        <v>9</v>
      </c>
      <c r="E224" s="1" t="s">
        <v>648</v>
      </c>
      <c r="F224" s="28" t="s">
        <v>8</v>
      </c>
      <c r="G224" s="28" t="s">
        <v>8</v>
      </c>
      <c r="H224" s="28" t="s">
        <v>8</v>
      </c>
      <c r="I224" s="28" t="s">
        <v>8</v>
      </c>
      <c r="J224" s="28" t="s">
        <v>8</v>
      </c>
      <c r="K224" s="28" t="s">
        <v>8</v>
      </c>
      <c r="L224" s="28" t="s">
        <v>8</v>
      </c>
      <c r="M224" s="28" t="s">
        <v>8</v>
      </c>
      <c r="N224" s="28" t="s">
        <v>8</v>
      </c>
      <c r="O224" s="28" t="s">
        <v>8</v>
      </c>
      <c r="P224" s="28" t="s">
        <v>8</v>
      </c>
      <c r="Q224" s="28" t="s">
        <v>8</v>
      </c>
      <c r="R224" s="28" t="s">
        <v>8</v>
      </c>
      <c r="S224" s="28" t="s">
        <v>8</v>
      </c>
      <c r="T224" s="28" t="s">
        <v>8</v>
      </c>
      <c r="U224" s="28" t="s">
        <v>8</v>
      </c>
      <c r="V224" s="28" t="s">
        <v>8</v>
      </c>
      <c r="W224" s="28" t="s">
        <v>8</v>
      </c>
      <c r="X224" s="28" t="s">
        <v>8</v>
      </c>
      <c r="Y224" s="28" t="s">
        <v>8</v>
      </c>
      <c r="Z224" s="28">
        <v>0</v>
      </c>
      <c r="AA224" s="28">
        <v>0</v>
      </c>
      <c r="AB224" s="28">
        <v>0</v>
      </c>
      <c r="AC224" s="28">
        <v>0</v>
      </c>
      <c r="AD224" s="28">
        <v>0</v>
      </c>
      <c r="AE224" s="28">
        <v>0</v>
      </c>
      <c r="AF224" s="28">
        <v>0</v>
      </c>
      <c r="AG224" s="28">
        <v>0</v>
      </c>
      <c r="AH224" s="28">
        <v>0</v>
      </c>
      <c r="AI224" s="28">
        <v>0</v>
      </c>
      <c r="AJ224" s="28">
        <v>0</v>
      </c>
      <c r="AK224" s="28">
        <v>0</v>
      </c>
      <c r="AL224" s="28">
        <v>0</v>
      </c>
      <c r="AM224" s="28">
        <v>0</v>
      </c>
      <c r="AN224" s="28">
        <v>0</v>
      </c>
      <c r="AO224" s="28">
        <v>29</v>
      </c>
      <c r="AP224" s="28">
        <v>29</v>
      </c>
      <c r="AQ224" s="28">
        <v>29</v>
      </c>
      <c r="AR224" s="28">
        <v>28</v>
      </c>
      <c r="AS224" s="28">
        <v>28</v>
      </c>
      <c r="AT224" s="28">
        <v>27</v>
      </c>
      <c r="AU224" s="28">
        <v>27</v>
      </c>
      <c r="AV224" s="28">
        <v>27</v>
      </c>
      <c r="AW224" s="28">
        <v>27</v>
      </c>
    </row>
    <row r="225" spans="2:49">
      <c r="B225" s="1" t="s">
        <v>649</v>
      </c>
      <c r="C225" s="1" t="s">
        <v>650</v>
      </c>
      <c r="D225" s="1" t="s">
        <v>11</v>
      </c>
      <c r="E225" s="1" t="s">
        <v>651</v>
      </c>
      <c r="F225" s="28">
        <v>35</v>
      </c>
      <c r="G225" s="28">
        <v>35</v>
      </c>
      <c r="H225" s="28">
        <v>30</v>
      </c>
      <c r="I225" s="28">
        <v>30</v>
      </c>
      <c r="J225" s="28">
        <v>30</v>
      </c>
      <c r="K225" s="28">
        <v>30</v>
      </c>
      <c r="L225" s="28">
        <v>30</v>
      </c>
      <c r="M225" s="28">
        <v>30</v>
      </c>
      <c r="N225" s="28">
        <v>30</v>
      </c>
      <c r="O225" s="28">
        <v>30</v>
      </c>
      <c r="P225" s="28">
        <v>30</v>
      </c>
      <c r="Q225" s="28">
        <v>30</v>
      </c>
      <c r="R225" s="28">
        <v>30</v>
      </c>
      <c r="S225" s="28">
        <v>30</v>
      </c>
      <c r="T225" s="28">
        <v>30</v>
      </c>
      <c r="U225" s="28">
        <v>30</v>
      </c>
      <c r="V225" s="28">
        <v>30</v>
      </c>
      <c r="W225" s="28">
        <v>30</v>
      </c>
      <c r="X225" s="28">
        <v>30</v>
      </c>
      <c r="Y225" s="28">
        <v>30</v>
      </c>
      <c r="Z225" s="28">
        <v>30</v>
      </c>
      <c r="AA225" s="28">
        <v>30</v>
      </c>
      <c r="AB225" s="28">
        <v>30</v>
      </c>
      <c r="AC225" s="28">
        <v>30</v>
      </c>
      <c r="AD225" s="28">
        <v>30</v>
      </c>
      <c r="AE225" s="28">
        <v>30</v>
      </c>
      <c r="AF225" s="28">
        <v>30</v>
      </c>
      <c r="AG225" s="28">
        <v>30</v>
      </c>
      <c r="AH225" s="28">
        <v>30</v>
      </c>
      <c r="AI225" s="28">
        <v>30</v>
      </c>
      <c r="AJ225" s="28">
        <v>30</v>
      </c>
      <c r="AK225" s="28">
        <v>30</v>
      </c>
      <c r="AL225" s="28">
        <v>23</v>
      </c>
      <c r="AM225" s="28">
        <v>20</v>
      </c>
      <c r="AN225" s="28">
        <v>20</v>
      </c>
      <c r="AO225" s="28">
        <v>20</v>
      </c>
      <c r="AP225" s="28">
        <v>20</v>
      </c>
      <c r="AQ225" s="28">
        <v>20</v>
      </c>
      <c r="AR225" s="28">
        <v>20</v>
      </c>
      <c r="AS225" s="28">
        <v>20</v>
      </c>
      <c r="AT225" s="28">
        <v>20</v>
      </c>
      <c r="AU225" s="28">
        <v>20</v>
      </c>
      <c r="AV225" s="28">
        <v>20</v>
      </c>
      <c r="AW225" s="28">
        <v>20</v>
      </c>
    </row>
    <row r="226" spans="2:49">
      <c r="B226" s="1" t="s">
        <v>652</v>
      </c>
      <c r="C226" s="1" t="s">
        <v>653</v>
      </c>
      <c r="D226" s="1" t="s">
        <v>11</v>
      </c>
      <c r="E226" s="1" t="s">
        <v>654</v>
      </c>
      <c r="F226" s="28" t="s">
        <v>8</v>
      </c>
      <c r="G226" s="28" t="s">
        <v>8</v>
      </c>
      <c r="H226" s="28" t="s">
        <v>8</v>
      </c>
      <c r="I226" s="28" t="s">
        <v>8</v>
      </c>
      <c r="J226" s="28" t="s">
        <v>8</v>
      </c>
      <c r="K226" s="28" t="s">
        <v>8</v>
      </c>
      <c r="L226" s="28" t="s">
        <v>8</v>
      </c>
      <c r="M226" s="28" t="s">
        <v>8</v>
      </c>
      <c r="N226" s="28" t="s">
        <v>8</v>
      </c>
      <c r="O226" s="28" t="s">
        <v>8</v>
      </c>
      <c r="P226" s="28" t="s">
        <v>8</v>
      </c>
      <c r="Q226" s="28" t="s">
        <v>8</v>
      </c>
      <c r="R226" s="28" t="s">
        <v>8</v>
      </c>
      <c r="S226" s="28" t="s">
        <v>8</v>
      </c>
      <c r="T226" s="28" t="s">
        <v>8</v>
      </c>
      <c r="U226" s="28" t="s">
        <v>8</v>
      </c>
      <c r="V226" s="28" t="s">
        <v>8</v>
      </c>
      <c r="W226" s="28" t="s">
        <v>8</v>
      </c>
      <c r="X226" s="28" t="s">
        <v>8</v>
      </c>
      <c r="Y226" s="28" t="s">
        <v>8</v>
      </c>
      <c r="Z226" s="28" t="s">
        <v>8</v>
      </c>
      <c r="AA226" s="28" t="s">
        <v>8</v>
      </c>
      <c r="AB226" s="28" t="s">
        <v>8</v>
      </c>
      <c r="AC226" s="28" t="s">
        <v>8</v>
      </c>
      <c r="AD226" s="28" t="s">
        <v>8</v>
      </c>
      <c r="AE226" s="28" t="s">
        <v>8</v>
      </c>
      <c r="AF226" s="28" t="s">
        <v>8</v>
      </c>
      <c r="AG226" s="28" t="s">
        <v>8</v>
      </c>
      <c r="AH226" s="28" t="s">
        <v>8</v>
      </c>
      <c r="AI226" s="28" t="s">
        <v>8</v>
      </c>
      <c r="AJ226" s="28">
        <v>25</v>
      </c>
      <c r="AK226" s="28">
        <v>25</v>
      </c>
      <c r="AL226" s="28">
        <v>25</v>
      </c>
      <c r="AM226" s="28">
        <v>25</v>
      </c>
      <c r="AN226" s="28">
        <v>25</v>
      </c>
      <c r="AO226" s="28">
        <v>25</v>
      </c>
      <c r="AP226" s="28">
        <v>24</v>
      </c>
      <c r="AQ226" s="28">
        <v>23</v>
      </c>
      <c r="AR226" s="28">
        <v>23</v>
      </c>
      <c r="AS226" s="28">
        <v>23</v>
      </c>
      <c r="AT226" s="28">
        <v>23</v>
      </c>
      <c r="AU226" s="28">
        <v>23</v>
      </c>
      <c r="AV226" s="28">
        <v>18</v>
      </c>
      <c r="AW226" s="28">
        <v>18</v>
      </c>
    </row>
    <row r="227" spans="2:49">
      <c r="B227" s="1" t="s">
        <v>655</v>
      </c>
      <c r="C227" s="1" t="s">
        <v>656</v>
      </c>
      <c r="D227" s="1" t="s">
        <v>43</v>
      </c>
      <c r="E227" s="1" t="s">
        <v>657</v>
      </c>
      <c r="F227" s="28" t="s">
        <v>8</v>
      </c>
      <c r="G227" s="28" t="s">
        <v>8</v>
      </c>
      <c r="H227" s="28" t="s">
        <v>8</v>
      </c>
      <c r="I227" s="28" t="s">
        <v>8</v>
      </c>
      <c r="J227" s="28" t="s">
        <v>8</v>
      </c>
      <c r="K227" s="28" t="s">
        <v>8</v>
      </c>
      <c r="L227" s="28" t="s">
        <v>8</v>
      </c>
      <c r="M227" s="28" t="s">
        <v>8</v>
      </c>
      <c r="N227" s="28" t="s">
        <v>8</v>
      </c>
      <c r="O227" s="28" t="s">
        <v>8</v>
      </c>
      <c r="P227" s="28" t="s">
        <v>8</v>
      </c>
      <c r="Q227" s="28" t="s">
        <v>8</v>
      </c>
      <c r="R227" s="28" t="s">
        <v>8</v>
      </c>
      <c r="S227" s="28" t="s">
        <v>8</v>
      </c>
      <c r="T227" s="28" t="s">
        <v>8</v>
      </c>
      <c r="U227" s="28" t="s">
        <v>8</v>
      </c>
      <c r="V227" s="28" t="s">
        <v>8</v>
      </c>
      <c r="W227" s="28" t="s">
        <v>8</v>
      </c>
      <c r="X227" s="28" t="s">
        <v>8</v>
      </c>
      <c r="Y227" s="28" t="s">
        <v>8</v>
      </c>
      <c r="Z227" s="28" t="s">
        <v>8</v>
      </c>
      <c r="AA227" s="28" t="s">
        <v>8</v>
      </c>
      <c r="AB227" s="28" t="s">
        <v>8</v>
      </c>
      <c r="AC227" s="28" t="s">
        <v>8</v>
      </c>
      <c r="AD227" s="28" t="s">
        <v>8</v>
      </c>
      <c r="AE227" s="28" t="s">
        <v>8</v>
      </c>
      <c r="AF227" s="28" t="s">
        <v>8</v>
      </c>
      <c r="AG227" s="28" t="s">
        <v>8</v>
      </c>
      <c r="AH227" s="28" t="s">
        <v>8</v>
      </c>
      <c r="AI227" s="28" t="s">
        <v>8</v>
      </c>
      <c r="AJ227" s="28" t="s">
        <v>8</v>
      </c>
      <c r="AK227" s="28" t="s">
        <v>8</v>
      </c>
      <c r="AL227" s="28" t="s">
        <v>8</v>
      </c>
      <c r="AM227" s="28" t="s">
        <v>8</v>
      </c>
      <c r="AN227" s="28" t="s">
        <v>8</v>
      </c>
      <c r="AO227" s="28" t="s">
        <v>8</v>
      </c>
      <c r="AP227" s="28" t="s">
        <v>8</v>
      </c>
      <c r="AQ227" s="28" t="s">
        <v>8</v>
      </c>
      <c r="AR227" s="28" t="s">
        <v>8</v>
      </c>
      <c r="AS227" s="28">
        <v>0</v>
      </c>
      <c r="AT227" s="28">
        <v>0</v>
      </c>
      <c r="AU227" s="28">
        <v>0</v>
      </c>
      <c r="AV227" s="28">
        <v>0</v>
      </c>
      <c r="AW227" s="28">
        <v>0</v>
      </c>
    </row>
    <row r="228" spans="2:49">
      <c r="B228" s="1" t="s">
        <v>658</v>
      </c>
      <c r="C228" s="1" t="s">
        <v>659</v>
      </c>
      <c r="D228" s="1" t="s">
        <v>11</v>
      </c>
      <c r="E228" s="1" t="s">
        <v>660</v>
      </c>
      <c r="F228" s="28" t="s">
        <v>8</v>
      </c>
      <c r="G228" s="28" t="s">
        <v>8</v>
      </c>
      <c r="H228" s="28" t="s">
        <v>8</v>
      </c>
      <c r="I228" s="28" t="s">
        <v>8</v>
      </c>
      <c r="J228" s="28" t="s">
        <v>8</v>
      </c>
      <c r="K228" s="28" t="s">
        <v>8</v>
      </c>
      <c r="L228" s="28" t="s">
        <v>8</v>
      </c>
      <c r="M228" s="28" t="s">
        <v>8</v>
      </c>
      <c r="N228" s="28" t="s">
        <v>8</v>
      </c>
      <c r="O228" s="28" t="s">
        <v>8</v>
      </c>
      <c r="P228" s="28" t="s">
        <v>8</v>
      </c>
      <c r="Q228" s="28" t="s">
        <v>8</v>
      </c>
      <c r="R228" s="28" t="s">
        <v>8</v>
      </c>
      <c r="S228" s="28" t="s">
        <v>8</v>
      </c>
      <c r="T228" s="28" t="s">
        <v>8</v>
      </c>
      <c r="U228" s="28" t="s">
        <v>8</v>
      </c>
      <c r="V228" s="28" t="s">
        <v>8</v>
      </c>
      <c r="W228" s="28" t="s">
        <v>8</v>
      </c>
      <c r="X228" s="28" t="s">
        <v>8</v>
      </c>
      <c r="Y228" s="28" t="s">
        <v>8</v>
      </c>
      <c r="Z228" s="28" t="s">
        <v>8</v>
      </c>
      <c r="AA228" s="28">
        <v>30</v>
      </c>
      <c r="AB228" s="28">
        <v>30</v>
      </c>
      <c r="AC228" s="28">
        <v>30</v>
      </c>
      <c r="AD228" s="28">
        <v>30</v>
      </c>
      <c r="AE228" s="28">
        <v>25</v>
      </c>
      <c r="AF228" s="28" t="s">
        <v>8</v>
      </c>
      <c r="AG228" s="28" t="s">
        <v>8</v>
      </c>
      <c r="AH228" s="28" t="s">
        <v>8</v>
      </c>
      <c r="AI228" s="28" t="s">
        <v>8</v>
      </c>
      <c r="AJ228" s="28">
        <v>8</v>
      </c>
      <c r="AK228" s="28">
        <v>8</v>
      </c>
      <c r="AL228" s="28">
        <v>8</v>
      </c>
      <c r="AM228" s="28">
        <v>8</v>
      </c>
      <c r="AN228" s="28">
        <v>8</v>
      </c>
      <c r="AO228" s="28">
        <v>8</v>
      </c>
      <c r="AP228" s="28">
        <v>8</v>
      </c>
      <c r="AQ228" s="28">
        <v>8</v>
      </c>
      <c r="AR228" s="28">
        <v>8</v>
      </c>
      <c r="AS228" s="28">
        <v>8</v>
      </c>
      <c r="AT228" s="28">
        <v>8</v>
      </c>
      <c r="AU228" s="28">
        <v>8</v>
      </c>
      <c r="AV228" s="28">
        <v>8</v>
      </c>
      <c r="AW228" s="28">
        <v>8</v>
      </c>
    </row>
    <row r="229" spans="2:49">
      <c r="B229" s="1" t="s">
        <v>661</v>
      </c>
      <c r="C229" s="1" t="s">
        <v>662</v>
      </c>
      <c r="D229" s="1" t="s">
        <v>43</v>
      </c>
      <c r="E229" s="1" t="s">
        <v>663</v>
      </c>
      <c r="F229" s="28" t="s">
        <v>8</v>
      </c>
      <c r="G229" s="28" t="s">
        <v>8</v>
      </c>
      <c r="H229" s="28" t="s">
        <v>8</v>
      </c>
      <c r="I229" s="28" t="s">
        <v>8</v>
      </c>
      <c r="J229" s="28" t="s">
        <v>8</v>
      </c>
      <c r="K229" s="28" t="s">
        <v>8</v>
      </c>
      <c r="L229" s="28" t="s">
        <v>8</v>
      </c>
      <c r="M229" s="28" t="s">
        <v>8</v>
      </c>
      <c r="N229" s="28" t="s">
        <v>8</v>
      </c>
      <c r="O229" s="28" t="s">
        <v>8</v>
      </c>
      <c r="P229" s="28" t="s">
        <v>8</v>
      </c>
      <c r="Q229" s="28" t="s">
        <v>8</v>
      </c>
      <c r="R229" s="28" t="s">
        <v>8</v>
      </c>
      <c r="S229" s="28" t="s">
        <v>8</v>
      </c>
      <c r="T229" s="28" t="s">
        <v>8</v>
      </c>
      <c r="U229" s="28" t="s">
        <v>8</v>
      </c>
      <c r="V229" s="28" t="s">
        <v>8</v>
      </c>
      <c r="W229" s="28" t="s">
        <v>8</v>
      </c>
      <c r="X229" s="28" t="s">
        <v>8</v>
      </c>
      <c r="Y229" s="28" t="s">
        <v>8</v>
      </c>
      <c r="Z229" s="28" t="s">
        <v>8</v>
      </c>
      <c r="AA229" s="28" t="s">
        <v>8</v>
      </c>
      <c r="AB229" s="28" t="s">
        <v>8</v>
      </c>
      <c r="AC229" s="28" t="s">
        <v>8</v>
      </c>
      <c r="AD229" s="28" t="s">
        <v>8</v>
      </c>
      <c r="AE229" s="28" t="s">
        <v>8</v>
      </c>
      <c r="AF229" s="28" t="s">
        <v>8</v>
      </c>
      <c r="AG229" s="28" t="s">
        <v>8</v>
      </c>
      <c r="AH229" s="28" t="s">
        <v>8</v>
      </c>
      <c r="AI229" s="28" t="s">
        <v>8</v>
      </c>
      <c r="AJ229" s="28" t="s">
        <v>8</v>
      </c>
      <c r="AK229" s="28" t="s">
        <v>8</v>
      </c>
      <c r="AL229" s="28">
        <v>10</v>
      </c>
      <c r="AM229" s="28">
        <v>10</v>
      </c>
      <c r="AN229" s="28">
        <v>10</v>
      </c>
      <c r="AO229" s="28">
        <v>10</v>
      </c>
      <c r="AP229" s="28">
        <v>10</v>
      </c>
      <c r="AQ229" s="28">
        <v>10</v>
      </c>
      <c r="AR229" s="28">
        <v>10</v>
      </c>
      <c r="AS229" s="28">
        <v>10</v>
      </c>
      <c r="AT229" s="28">
        <v>10</v>
      </c>
      <c r="AU229" s="28">
        <v>10</v>
      </c>
      <c r="AV229" s="28">
        <v>10</v>
      </c>
      <c r="AW229" s="28">
        <v>10</v>
      </c>
    </row>
    <row r="230" spans="2:49">
      <c r="B230" s="1" t="s">
        <v>664</v>
      </c>
      <c r="C230" s="1" t="s">
        <v>665</v>
      </c>
      <c r="D230" s="1" t="s">
        <v>43</v>
      </c>
      <c r="E230" s="1" t="s">
        <v>666</v>
      </c>
      <c r="F230" s="28" t="s">
        <v>8</v>
      </c>
      <c r="G230" s="28" t="s">
        <v>8</v>
      </c>
      <c r="H230" s="28" t="s">
        <v>8</v>
      </c>
      <c r="I230" s="28" t="s">
        <v>8</v>
      </c>
      <c r="J230" s="28" t="s">
        <v>8</v>
      </c>
      <c r="K230" s="28" t="s">
        <v>8</v>
      </c>
      <c r="L230" s="28" t="s">
        <v>8</v>
      </c>
      <c r="M230" s="28" t="s">
        <v>8</v>
      </c>
      <c r="N230" s="28" t="s">
        <v>8</v>
      </c>
      <c r="O230" s="28" t="s">
        <v>8</v>
      </c>
      <c r="P230" s="28" t="s">
        <v>8</v>
      </c>
      <c r="Q230" s="28" t="s">
        <v>8</v>
      </c>
      <c r="R230" s="28" t="s">
        <v>8</v>
      </c>
      <c r="S230" s="28" t="s">
        <v>8</v>
      </c>
      <c r="T230" s="28" t="s">
        <v>8</v>
      </c>
      <c r="U230" s="28" t="s">
        <v>8</v>
      </c>
      <c r="V230" s="28" t="s">
        <v>8</v>
      </c>
      <c r="W230" s="28" t="s">
        <v>8</v>
      </c>
      <c r="X230" s="28" t="s">
        <v>8</v>
      </c>
      <c r="Y230" s="28" t="s">
        <v>8</v>
      </c>
      <c r="Z230" s="28" t="s">
        <v>8</v>
      </c>
      <c r="AA230" s="28" t="s">
        <v>8</v>
      </c>
      <c r="AB230" s="28" t="s">
        <v>8</v>
      </c>
      <c r="AC230" s="28" t="s">
        <v>8</v>
      </c>
      <c r="AD230" s="28" t="s">
        <v>8</v>
      </c>
      <c r="AE230" s="28" t="s">
        <v>8</v>
      </c>
      <c r="AF230" s="28" t="s">
        <v>8</v>
      </c>
      <c r="AG230" s="28" t="s">
        <v>8</v>
      </c>
      <c r="AH230" s="28" t="s">
        <v>8</v>
      </c>
      <c r="AI230" s="28" t="s">
        <v>8</v>
      </c>
      <c r="AJ230" s="28" t="s">
        <v>8</v>
      </c>
      <c r="AK230" s="28" t="s">
        <v>8</v>
      </c>
      <c r="AL230" s="28" t="s">
        <v>8</v>
      </c>
      <c r="AM230" s="28" t="s">
        <v>8</v>
      </c>
      <c r="AN230" s="28" t="s">
        <v>8</v>
      </c>
      <c r="AO230" s="28">
        <v>25</v>
      </c>
      <c r="AP230" s="28">
        <v>25</v>
      </c>
      <c r="AQ230" s="28">
        <v>25</v>
      </c>
      <c r="AR230" s="28">
        <v>25</v>
      </c>
      <c r="AS230" s="28">
        <v>25</v>
      </c>
      <c r="AT230" s="28">
        <v>25</v>
      </c>
      <c r="AU230" s="28">
        <v>25</v>
      </c>
      <c r="AV230" s="28">
        <v>25</v>
      </c>
      <c r="AW230" s="28">
        <v>25</v>
      </c>
    </row>
    <row r="231" spans="2:49">
      <c r="B231" s="1" t="s">
        <v>667</v>
      </c>
      <c r="C231" s="1" t="s">
        <v>668</v>
      </c>
      <c r="D231" s="1" t="s">
        <v>6</v>
      </c>
      <c r="E231" s="1" t="s">
        <v>669</v>
      </c>
      <c r="F231" s="28">
        <v>45</v>
      </c>
      <c r="G231" s="28">
        <v>45</v>
      </c>
      <c r="H231" s="28">
        <v>45</v>
      </c>
      <c r="I231" s="28">
        <v>45</v>
      </c>
      <c r="J231" s="28">
        <v>45</v>
      </c>
      <c r="K231" s="28">
        <v>45</v>
      </c>
      <c r="L231" s="28">
        <v>45</v>
      </c>
      <c r="M231" s="28">
        <v>45</v>
      </c>
      <c r="N231" s="28">
        <v>40</v>
      </c>
      <c r="O231" s="28">
        <v>45</v>
      </c>
      <c r="P231" s="28">
        <v>40</v>
      </c>
      <c r="Q231" s="28">
        <v>40</v>
      </c>
      <c r="R231" s="28">
        <v>40</v>
      </c>
      <c r="S231" s="28">
        <v>45</v>
      </c>
      <c r="T231" s="28">
        <v>45</v>
      </c>
      <c r="U231" s="28">
        <v>38</v>
      </c>
      <c r="V231" s="28">
        <v>35</v>
      </c>
      <c r="W231" s="28">
        <v>35</v>
      </c>
      <c r="X231" s="28">
        <v>35</v>
      </c>
      <c r="Y231" s="28">
        <v>35</v>
      </c>
      <c r="Z231" s="28">
        <v>35</v>
      </c>
      <c r="AA231" s="28">
        <v>35</v>
      </c>
      <c r="AB231" s="28">
        <v>35</v>
      </c>
      <c r="AC231" s="28">
        <v>35</v>
      </c>
      <c r="AD231" s="28">
        <v>30</v>
      </c>
      <c r="AE231" s="28">
        <v>30</v>
      </c>
      <c r="AF231" s="28">
        <v>30</v>
      </c>
      <c r="AG231" s="28">
        <v>25</v>
      </c>
      <c r="AH231" s="28">
        <v>25</v>
      </c>
      <c r="AI231" s="28">
        <v>25</v>
      </c>
      <c r="AJ231" s="28">
        <v>25</v>
      </c>
      <c r="AK231" s="28">
        <v>25</v>
      </c>
      <c r="AL231" s="28">
        <v>25</v>
      </c>
      <c r="AM231" s="28">
        <v>25</v>
      </c>
      <c r="AN231" s="28">
        <v>25</v>
      </c>
      <c r="AO231" s="28">
        <v>25</v>
      </c>
      <c r="AP231" s="28">
        <v>25</v>
      </c>
      <c r="AQ231" s="28">
        <v>30</v>
      </c>
      <c r="AR231" s="28">
        <v>30</v>
      </c>
      <c r="AS231" s="28">
        <v>30</v>
      </c>
      <c r="AT231" s="28">
        <v>30</v>
      </c>
      <c r="AU231" s="28">
        <v>30</v>
      </c>
      <c r="AV231" s="28">
        <v>30</v>
      </c>
      <c r="AW231" s="28">
        <v>30</v>
      </c>
    </row>
    <row r="232" spans="2:49">
      <c r="B232" s="1" t="s">
        <v>670</v>
      </c>
      <c r="C232" s="1" t="s">
        <v>671</v>
      </c>
      <c r="D232" s="1" t="s">
        <v>9</v>
      </c>
      <c r="E232" s="1" t="s">
        <v>672</v>
      </c>
      <c r="F232" s="28" t="s">
        <v>8</v>
      </c>
      <c r="G232" s="28" t="s">
        <v>8</v>
      </c>
      <c r="H232" s="28" t="s">
        <v>8</v>
      </c>
      <c r="I232" s="28" t="s">
        <v>8</v>
      </c>
      <c r="J232" s="28" t="s">
        <v>8</v>
      </c>
      <c r="K232" s="28" t="s">
        <v>8</v>
      </c>
      <c r="L232" s="28" t="s">
        <v>8</v>
      </c>
      <c r="M232" s="28" t="s">
        <v>8</v>
      </c>
      <c r="N232" s="28" t="s">
        <v>8</v>
      </c>
      <c r="O232" s="28" t="s">
        <v>8</v>
      </c>
      <c r="P232" s="28" t="s">
        <v>8</v>
      </c>
      <c r="Q232" s="28" t="s">
        <v>8</v>
      </c>
      <c r="R232" s="28" t="s">
        <v>8</v>
      </c>
      <c r="S232" s="28" t="s">
        <v>8</v>
      </c>
      <c r="T232" s="28" t="s">
        <v>8</v>
      </c>
      <c r="U232" s="28">
        <v>35</v>
      </c>
      <c r="V232" s="28">
        <v>35</v>
      </c>
      <c r="W232" s="28">
        <v>35</v>
      </c>
      <c r="X232" s="28">
        <v>35</v>
      </c>
      <c r="Y232" s="28">
        <v>35</v>
      </c>
      <c r="Z232" s="28">
        <v>35</v>
      </c>
      <c r="AA232" s="28">
        <v>35</v>
      </c>
      <c r="AB232" s="28">
        <v>35</v>
      </c>
      <c r="AC232" s="28">
        <v>35</v>
      </c>
      <c r="AD232" s="28">
        <v>35</v>
      </c>
      <c r="AE232" s="28">
        <v>35</v>
      </c>
      <c r="AF232" s="28">
        <v>35</v>
      </c>
      <c r="AG232" s="28">
        <v>30</v>
      </c>
      <c r="AH232" s="28">
        <v>30</v>
      </c>
      <c r="AI232" s="28">
        <v>30</v>
      </c>
      <c r="AJ232" s="28">
        <v>30</v>
      </c>
      <c r="AK232" s="28">
        <v>30</v>
      </c>
      <c r="AL232" s="28">
        <v>30</v>
      </c>
      <c r="AM232" s="28">
        <v>30</v>
      </c>
      <c r="AN232" s="28">
        <v>25</v>
      </c>
      <c r="AO232" s="28">
        <v>25</v>
      </c>
      <c r="AP232" s="28">
        <v>25</v>
      </c>
      <c r="AQ232" s="28">
        <v>25</v>
      </c>
      <c r="AR232" s="28">
        <v>25</v>
      </c>
      <c r="AS232" s="28">
        <v>25</v>
      </c>
      <c r="AT232" s="28">
        <v>25</v>
      </c>
      <c r="AU232" s="28">
        <v>15</v>
      </c>
      <c r="AV232" s="28">
        <v>15</v>
      </c>
      <c r="AW232" s="28">
        <v>15</v>
      </c>
    </row>
    <row r="233" spans="2:49">
      <c r="B233" s="1" t="s">
        <v>673</v>
      </c>
      <c r="C233" s="1" t="s">
        <v>674</v>
      </c>
      <c r="D233" s="1" t="s">
        <v>11</v>
      </c>
      <c r="E233" s="1" t="s">
        <v>675</v>
      </c>
      <c r="F233" s="28" t="s">
        <v>8</v>
      </c>
      <c r="G233" s="28" t="s">
        <v>8</v>
      </c>
      <c r="H233" s="28" t="s">
        <v>8</v>
      </c>
      <c r="I233" s="28" t="s">
        <v>8</v>
      </c>
      <c r="J233" s="28" t="s">
        <v>8</v>
      </c>
      <c r="K233" s="28" t="s">
        <v>8</v>
      </c>
      <c r="L233" s="28" t="s">
        <v>8</v>
      </c>
      <c r="M233" s="28" t="s">
        <v>8</v>
      </c>
      <c r="N233" s="28" t="s">
        <v>8</v>
      </c>
      <c r="O233" s="28" t="s">
        <v>8</v>
      </c>
      <c r="P233" s="28" t="s">
        <v>8</v>
      </c>
      <c r="Q233" s="28" t="s">
        <v>8</v>
      </c>
      <c r="R233" s="28" t="s">
        <v>8</v>
      </c>
      <c r="S233" s="28">
        <v>49.22</v>
      </c>
      <c r="T233" s="28">
        <v>42.8</v>
      </c>
      <c r="U233" s="28">
        <v>44</v>
      </c>
      <c r="V233" s="28">
        <v>44</v>
      </c>
      <c r="W233" s="28">
        <v>44</v>
      </c>
      <c r="X233" s="28">
        <v>44</v>
      </c>
      <c r="Y233" s="28">
        <v>33</v>
      </c>
      <c r="Z233" s="28">
        <v>33</v>
      </c>
      <c r="AA233" s="28">
        <v>33</v>
      </c>
      <c r="AB233" s="28">
        <v>33</v>
      </c>
      <c r="AC233" s="28">
        <v>30</v>
      </c>
      <c r="AD233" s="28">
        <v>33</v>
      </c>
      <c r="AE233" s="28">
        <v>30</v>
      </c>
      <c r="AF233" s="28">
        <v>20</v>
      </c>
      <c r="AG233" s="28">
        <v>20</v>
      </c>
      <c r="AH233" s="28">
        <v>20</v>
      </c>
      <c r="AI233" s="28">
        <v>20</v>
      </c>
      <c r="AJ233" s="28">
        <v>20</v>
      </c>
      <c r="AK233" s="28">
        <v>20</v>
      </c>
      <c r="AL233" s="28">
        <v>20</v>
      </c>
      <c r="AM233" s="28">
        <v>20</v>
      </c>
      <c r="AN233" s="28">
        <v>20</v>
      </c>
      <c r="AO233" s="28">
        <v>20</v>
      </c>
      <c r="AP233" s="28">
        <v>20</v>
      </c>
      <c r="AQ233" s="28">
        <v>20</v>
      </c>
      <c r="AR233" s="28">
        <v>22</v>
      </c>
      <c r="AS233" s="28">
        <v>22</v>
      </c>
      <c r="AT233" s="28">
        <v>22</v>
      </c>
      <c r="AU233" s="28">
        <v>20</v>
      </c>
      <c r="AV233" s="28">
        <v>23</v>
      </c>
      <c r="AW233" s="28">
        <v>25</v>
      </c>
    </row>
    <row r="234" spans="2:49">
      <c r="B234" s="1" t="s">
        <v>676</v>
      </c>
      <c r="C234" s="1" t="s">
        <v>677</v>
      </c>
      <c r="D234" s="1" t="s">
        <v>43</v>
      </c>
      <c r="E234" s="1" t="s">
        <v>678</v>
      </c>
      <c r="F234" s="28" t="s">
        <v>8</v>
      </c>
      <c r="G234" s="28" t="s">
        <v>8</v>
      </c>
      <c r="H234" s="28" t="s">
        <v>8</v>
      </c>
      <c r="I234" s="28" t="s">
        <v>8</v>
      </c>
      <c r="J234" s="28" t="s">
        <v>8</v>
      </c>
      <c r="K234" s="28" t="s">
        <v>8</v>
      </c>
      <c r="L234" s="28" t="s">
        <v>8</v>
      </c>
      <c r="M234" s="28" t="s">
        <v>8</v>
      </c>
      <c r="N234" s="28" t="s">
        <v>8</v>
      </c>
      <c r="O234" s="28" t="s">
        <v>8</v>
      </c>
      <c r="P234" s="28" t="s">
        <v>8</v>
      </c>
      <c r="Q234" s="28" t="s">
        <v>8</v>
      </c>
      <c r="R234" s="28" t="s">
        <v>8</v>
      </c>
      <c r="S234" s="28" t="s">
        <v>8</v>
      </c>
      <c r="T234" s="28" t="s">
        <v>8</v>
      </c>
      <c r="U234" s="28" t="s">
        <v>8</v>
      </c>
      <c r="V234" s="28" t="s">
        <v>8</v>
      </c>
      <c r="W234" s="28" t="s">
        <v>8</v>
      </c>
      <c r="X234" s="28" t="s">
        <v>8</v>
      </c>
      <c r="Y234" s="28" t="s">
        <v>8</v>
      </c>
      <c r="Z234" s="28" t="s">
        <v>8</v>
      </c>
      <c r="AA234" s="28" t="s">
        <v>8</v>
      </c>
      <c r="AB234" s="28" t="s">
        <v>8</v>
      </c>
      <c r="AC234" s="28" t="s">
        <v>8</v>
      </c>
      <c r="AD234" s="28" t="s">
        <v>8</v>
      </c>
      <c r="AE234" s="28" t="s">
        <v>8</v>
      </c>
      <c r="AF234" s="28" t="s">
        <v>8</v>
      </c>
      <c r="AG234" s="28" t="s">
        <v>8</v>
      </c>
      <c r="AH234" s="28" t="s">
        <v>8</v>
      </c>
      <c r="AI234" s="28" t="s">
        <v>8</v>
      </c>
      <c r="AJ234" s="28" t="s">
        <v>8</v>
      </c>
      <c r="AK234" s="28" t="s">
        <v>8</v>
      </c>
      <c r="AL234" s="28" t="s">
        <v>8</v>
      </c>
      <c r="AM234" s="28" t="s">
        <v>8</v>
      </c>
      <c r="AN234" s="28" t="s">
        <v>8</v>
      </c>
      <c r="AO234" s="28" t="s">
        <v>8</v>
      </c>
      <c r="AP234" s="28" t="s">
        <v>8</v>
      </c>
      <c r="AQ234" s="28" t="s">
        <v>8</v>
      </c>
      <c r="AR234" s="28" t="s">
        <v>8</v>
      </c>
      <c r="AS234" s="28" t="s">
        <v>8</v>
      </c>
      <c r="AT234" s="28" t="s">
        <v>8</v>
      </c>
      <c r="AU234" s="28" t="s">
        <v>8</v>
      </c>
      <c r="AV234" s="28" t="s">
        <v>8</v>
      </c>
      <c r="AW234" s="28" t="s">
        <v>8</v>
      </c>
    </row>
    <row r="235" spans="2:49">
      <c r="B235" s="1" t="s">
        <v>679</v>
      </c>
      <c r="C235" s="1" t="s">
        <v>680</v>
      </c>
      <c r="D235" s="1" t="s">
        <v>11</v>
      </c>
      <c r="E235" s="1" t="s">
        <v>681</v>
      </c>
      <c r="F235" s="28">
        <v>35</v>
      </c>
      <c r="G235" s="28">
        <v>35</v>
      </c>
      <c r="H235" s="28">
        <v>35</v>
      </c>
      <c r="I235" s="28">
        <v>35</v>
      </c>
      <c r="J235" s="28">
        <v>35</v>
      </c>
      <c r="K235" s="28">
        <v>30</v>
      </c>
      <c r="L235" s="28">
        <v>25</v>
      </c>
      <c r="M235" s="28">
        <v>25</v>
      </c>
      <c r="N235" s="28">
        <v>25</v>
      </c>
      <c r="O235" s="28">
        <v>25</v>
      </c>
      <c r="P235" s="28">
        <v>25</v>
      </c>
      <c r="Q235" s="28">
        <v>25</v>
      </c>
      <c r="R235" s="28">
        <v>25</v>
      </c>
      <c r="S235" s="28">
        <v>25</v>
      </c>
      <c r="T235" s="28">
        <v>25</v>
      </c>
      <c r="U235" s="28">
        <v>25</v>
      </c>
      <c r="V235" s="28">
        <v>25</v>
      </c>
      <c r="W235" s="28">
        <v>25</v>
      </c>
      <c r="X235" s="28">
        <v>25</v>
      </c>
      <c r="Y235" s="28">
        <v>25</v>
      </c>
      <c r="Z235" s="28">
        <v>25</v>
      </c>
      <c r="AA235" s="28">
        <v>25</v>
      </c>
      <c r="AB235" s="28">
        <v>25</v>
      </c>
      <c r="AC235" s="28">
        <v>25</v>
      </c>
      <c r="AD235" s="28">
        <v>25</v>
      </c>
      <c r="AE235" s="28">
        <v>25</v>
      </c>
      <c r="AF235" s="28">
        <v>25</v>
      </c>
      <c r="AG235" s="28">
        <v>25</v>
      </c>
      <c r="AH235" s="28">
        <v>25</v>
      </c>
      <c r="AI235" s="28">
        <v>25</v>
      </c>
      <c r="AJ235" s="28">
        <v>17</v>
      </c>
      <c r="AK235" s="28">
        <v>17</v>
      </c>
      <c r="AL235" s="28">
        <v>17</v>
      </c>
      <c r="AM235" s="28">
        <v>17</v>
      </c>
      <c r="AN235" s="28">
        <v>17</v>
      </c>
      <c r="AO235" s="28">
        <v>17</v>
      </c>
      <c r="AP235" s="28">
        <v>17</v>
      </c>
      <c r="AQ235" s="28">
        <v>17</v>
      </c>
      <c r="AR235" s="28">
        <v>20</v>
      </c>
      <c r="AS235" s="28">
        <v>20</v>
      </c>
      <c r="AT235" s="28">
        <v>20</v>
      </c>
      <c r="AU235" s="28">
        <v>20</v>
      </c>
      <c r="AV235" s="28">
        <v>20</v>
      </c>
      <c r="AW235" s="28">
        <v>20</v>
      </c>
    </row>
    <row r="236" spans="2:49">
      <c r="B236" s="1" t="s">
        <v>682</v>
      </c>
      <c r="C236" s="1" t="s">
        <v>683</v>
      </c>
      <c r="D236" s="1" t="s">
        <v>9</v>
      </c>
      <c r="E236" s="1" t="s">
        <v>684</v>
      </c>
      <c r="F236" s="28">
        <v>50</v>
      </c>
      <c r="G236" s="28">
        <v>50</v>
      </c>
      <c r="H236" s="28">
        <v>50</v>
      </c>
      <c r="I236" s="28">
        <v>50</v>
      </c>
      <c r="J236" s="28">
        <v>50</v>
      </c>
      <c r="K236" s="28">
        <v>50</v>
      </c>
      <c r="L236" s="28">
        <v>50</v>
      </c>
      <c r="M236" s="28">
        <v>50</v>
      </c>
      <c r="N236" s="28">
        <v>50</v>
      </c>
      <c r="O236" s="28">
        <v>50</v>
      </c>
      <c r="P236" s="28">
        <v>50</v>
      </c>
      <c r="Q236" s="28">
        <v>50</v>
      </c>
      <c r="R236" s="28">
        <v>45</v>
      </c>
      <c r="S236" s="28">
        <v>35</v>
      </c>
      <c r="T236" s="28">
        <v>35</v>
      </c>
      <c r="U236" s="28">
        <v>35</v>
      </c>
      <c r="V236" s="28">
        <v>35</v>
      </c>
      <c r="W236" s="28">
        <v>35</v>
      </c>
      <c r="X236" s="28">
        <v>30</v>
      </c>
      <c r="Y236" s="28">
        <v>30</v>
      </c>
      <c r="Z236" s="28">
        <v>30</v>
      </c>
      <c r="AA236" s="28">
        <v>30</v>
      </c>
      <c r="AB236" s="28">
        <v>30</v>
      </c>
      <c r="AC236" s="28" t="s">
        <v>8</v>
      </c>
      <c r="AD236" s="28">
        <v>30</v>
      </c>
      <c r="AE236" s="28">
        <v>30</v>
      </c>
      <c r="AF236" s="28">
        <v>30</v>
      </c>
      <c r="AG236" s="28">
        <v>30</v>
      </c>
      <c r="AH236" s="28">
        <v>30</v>
      </c>
      <c r="AI236" s="28">
        <v>30</v>
      </c>
      <c r="AJ236" s="28">
        <v>30</v>
      </c>
      <c r="AK236" s="28">
        <v>30</v>
      </c>
      <c r="AL236" s="28">
        <v>30</v>
      </c>
      <c r="AM236" s="28">
        <v>30</v>
      </c>
      <c r="AN236" s="28">
        <v>30</v>
      </c>
      <c r="AO236" s="28">
        <v>30</v>
      </c>
      <c r="AP236" s="28">
        <v>30</v>
      </c>
      <c r="AQ236" s="28">
        <v>30</v>
      </c>
      <c r="AR236" s="28">
        <v>30</v>
      </c>
      <c r="AS236" s="28">
        <v>30</v>
      </c>
      <c r="AT236" s="28">
        <v>30</v>
      </c>
      <c r="AU236" s="28">
        <v>30</v>
      </c>
      <c r="AV236" s="28">
        <v>30</v>
      </c>
      <c r="AW236" s="28">
        <v>30</v>
      </c>
    </row>
    <row r="237" spans="2:49">
      <c r="B237" s="1" t="s">
        <v>685</v>
      </c>
      <c r="C237" s="1" t="s">
        <v>686</v>
      </c>
      <c r="D237" s="1" t="s">
        <v>9</v>
      </c>
      <c r="E237" s="1" t="s">
        <v>687</v>
      </c>
      <c r="F237" s="28" t="s">
        <v>8</v>
      </c>
      <c r="G237" s="28" t="s">
        <v>8</v>
      </c>
      <c r="H237" s="28" t="s">
        <v>8</v>
      </c>
      <c r="I237" s="28" t="s">
        <v>8</v>
      </c>
      <c r="J237" s="28" t="s">
        <v>8</v>
      </c>
      <c r="K237" s="28" t="s">
        <v>8</v>
      </c>
      <c r="L237" s="28" t="s">
        <v>8</v>
      </c>
      <c r="M237" s="28" t="s">
        <v>8</v>
      </c>
      <c r="N237" s="28" t="s">
        <v>8</v>
      </c>
      <c r="O237" s="28" t="s">
        <v>8</v>
      </c>
      <c r="P237" s="28" t="s">
        <v>8</v>
      </c>
      <c r="Q237" s="28">
        <v>40</v>
      </c>
      <c r="R237" s="28">
        <v>40</v>
      </c>
      <c r="S237" s="28">
        <v>35</v>
      </c>
      <c r="T237" s="28">
        <v>30</v>
      </c>
      <c r="U237" s="28">
        <v>30</v>
      </c>
      <c r="V237" s="28">
        <v>30</v>
      </c>
      <c r="W237" s="28">
        <v>30</v>
      </c>
      <c r="X237" s="28">
        <v>30</v>
      </c>
      <c r="Y237" s="28">
        <v>30</v>
      </c>
      <c r="Z237" s="28">
        <v>30</v>
      </c>
      <c r="AA237" s="28">
        <v>30</v>
      </c>
      <c r="AB237" s="28">
        <v>30</v>
      </c>
      <c r="AC237" s="28">
        <v>30</v>
      </c>
      <c r="AD237" s="28">
        <v>30</v>
      </c>
      <c r="AE237" s="28">
        <v>30</v>
      </c>
      <c r="AF237" s="28">
        <v>30</v>
      </c>
      <c r="AG237" s="28">
        <v>30</v>
      </c>
      <c r="AH237" s="28">
        <v>30</v>
      </c>
      <c r="AI237" s="28">
        <v>30</v>
      </c>
      <c r="AJ237" s="28">
        <v>30</v>
      </c>
      <c r="AK237" s="28">
        <v>30</v>
      </c>
      <c r="AL237" s="28">
        <v>30</v>
      </c>
      <c r="AM237" s="28">
        <v>30</v>
      </c>
      <c r="AN237" s="28">
        <v>30</v>
      </c>
      <c r="AO237" s="28">
        <v>30</v>
      </c>
      <c r="AP237" s="28">
        <v>30</v>
      </c>
      <c r="AQ237" s="28">
        <v>30</v>
      </c>
      <c r="AR237" s="28">
        <v>30</v>
      </c>
      <c r="AS237" s="28">
        <v>30</v>
      </c>
      <c r="AT237" s="28">
        <v>30</v>
      </c>
      <c r="AU237" s="28">
        <v>30</v>
      </c>
      <c r="AV237" s="28">
        <v>30</v>
      </c>
      <c r="AW237" s="28">
        <v>30</v>
      </c>
    </row>
    <row r="238" spans="2:49">
      <c r="B238" s="1" t="s">
        <v>688</v>
      </c>
      <c r="C238" s="1" t="s">
        <v>689</v>
      </c>
      <c r="D238" s="1" t="s">
        <v>21</v>
      </c>
      <c r="E238" s="1" t="s">
        <v>690</v>
      </c>
      <c r="F238" s="28" t="s">
        <v>8</v>
      </c>
      <c r="G238" s="28" t="s">
        <v>8</v>
      </c>
      <c r="H238" s="28" t="s">
        <v>8</v>
      </c>
      <c r="I238" s="28" t="s">
        <v>8</v>
      </c>
      <c r="J238" s="28" t="s">
        <v>8</v>
      </c>
      <c r="K238" s="28" t="s">
        <v>8</v>
      </c>
      <c r="L238" s="28" t="s">
        <v>8</v>
      </c>
      <c r="M238" s="28" t="s">
        <v>8</v>
      </c>
      <c r="N238" s="28" t="s">
        <v>8</v>
      </c>
      <c r="O238" s="28" t="s">
        <v>8</v>
      </c>
      <c r="P238" s="28" t="s">
        <v>8</v>
      </c>
      <c r="Q238" s="28" t="s">
        <v>8</v>
      </c>
      <c r="R238" s="28" t="s">
        <v>8</v>
      </c>
      <c r="S238" s="28" t="s">
        <v>8</v>
      </c>
      <c r="T238" s="28" t="s">
        <v>8</v>
      </c>
      <c r="U238" s="28">
        <v>22</v>
      </c>
      <c r="V238" s="28">
        <v>30</v>
      </c>
      <c r="W238" s="28">
        <v>30</v>
      </c>
      <c r="X238" s="28">
        <v>30</v>
      </c>
      <c r="Y238" s="28">
        <v>30</v>
      </c>
      <c r="Z238" s="28">
        <v>30</v>
      </c>
      <c r="AA238" s="28">
        <v>30</v>
      </c>
      <c r="AB238" s="28">
        <v>30</v>
      </c>
      <c r="AC238" s="28">
        <v>30</v>
      </c>
      <c r="AD238" s="28">
        <v>25</v>
      </c>
      <c r="AE238" s="28">
        <v>25</v>
      </c>
      <c r="AF238" s="28">
        <v>25</v>
      </c>
      <c r="AG238" s="28">
        <v>25</v>
      </c>
      <c r="AH238" s="28">
        <v>25</v>
      </c>
      <c r="AI238" s="28">
        <v>25</v>
      </c>
      <c r="AJ238" s="28">
        <v>25</v>
      </c>
      <c r="AK238" s="28">
        <v>25</v>
      </c>
      <c r="AL238" s="28">
        <v>21</v>
      </c>
      <c r="AM238" s="28">
        <v>19</v>
      </c>
      <c r="AN238" s="28">
        <v>18</v>
      </c>
      <c r="AO238" s="28">
        <v>18</v>
      </c>
      <c r="AP238" s="28">
        <v>18</v>
      </c>
      <c r="AQ238" s="28">
        <v>18</v>
      </c>
      <c r="AR238" s="28">
        <v>18</v>
      </c>
      <c r="AS238" s="28">
        <v>18</v>
      </c>
      <c r="AT238" s="28">
        <v>18</v>
      </c>
      <c r="AU238" s="28">
        <v>18</v>
      </c>
      <c r="AV238" s="28">
        <v>18</v>
      </c>
      <c r="AW238" s="28">
        <v>18</v>
      </c>
    </row>
    <row r="239" spans="2:49">
      <c r="B239" s="1" t="s">
        <v>691</v>
      </c>
      <c r="C239" s="1" t="s">
        <v>692</v>
      </c>
      <c r="D239" s="1" t="s">
        <v>43</v>
      </c>
      <c r="E239" s="1" t="s">
        <v>693</v>
      </c>
      <c r="F239" s="28" t="s">
        <v>8</v>
      </c>
      <c r="G239" s="28" t="s">
        <v>8</v>
      </c>
      <c r="H239" s="28" t="s">
        <v>8</v>
      </c>
      <c r="I239" s="28" t="s">
        <v>8</v>
      </c>
      <c r="J239" s="28" t="s">
        <v>8</v>
      </c>
      <c r="K239" s="28" t="s">
        <v>8</v>
      </c>
      <c r="L239" s="28" t="s">
        <v>8</v>
      </c>
      <c r="M239" s="28" t="s">
        <v>8</v>
      </c>
      <c r="N239" s="28" t="s">
        <v>8</v>
      </c>
      <c r="O239" s="28" t="s">
        <v>8</v>
      </c>
      <c r="P239" s="28" t="s">
        <v>8</v>
      </c>
      <c r="Q239" s="28" t="s">
        <v>8</v>
      </c>
      <c r="R239" s="28" t="s">
        <v>8</v>
      </c>
      <c r="S239" s="28" t="s">
        <v>8</v>
      </c>
      <c r="T239" s="28" t="s">
        <v>8</v>
      </c>
      <c r="U239" s="28" t="s">
        <v>8</v>
      </c>
      <c r="V239" s="28" t="s">
        <v>8</v>
      </c>
      <c r="W239" s="28" t="s">
        <v>8</v>
      </c>
      <c r="X239" s="28" t="s">
        <v>8</v>
      </c>
      <c r="Y239" s="28" t="s">
        <v>8</v>
      </c>
      <c r="Z239" s="28" t="s">
        <v>8</v>
      </c>
      <c r="AA239" s="28" t="s">
        <v>8</v>
      </c>
      <c r="AB239" s="28" t="s">
        <v>8</v>
      </c>
      <c r="AC239" s="28" t="s">
        <v>8</v>
      </c>
      <c r="AD239" s="28" t="s">
        <v>8</v>
      </c>
      <c r="AE239" s="28" t="s">
        <v>8</v>
      </c>
      <c r="AF239" s="28" t="s">
        <v>8</v>
      </c>
      <c r="AG239" s="28" t="s">
        <v>8</v>
      </c>
      <c r="AH239" s="28" t="s">
        <v>8</v>
      </c>
      <c r="AI239" s="28" t="s">
        <v>8</v>
      </c>
      <c r="AJ239" s="28" t="s">
        <v>8</v>
      </c>
      <c r="AK239" s="28" t="s">
        <v>8</v>
      </c>
      <c r="AL239" s="28" t="s">
        <v>8</v>
      </c>
      <c r="AM239" s="28" t="s">
        <v>8</v>
      </c>
      <c r="AN239" s="28" t="s">
        <v>8</v>
      </c>
      <c r="AO239" s="28" t="s">
        <v>8</v>
      </c>
      <c r="AP239" s="28" t="s">
        <v>8</v>
      </c>
      <c r="AQ239" s="28" t="s">
        <v>8</v>
      </c>
      <c r="AR239" s="28" t="s">
        <v>8</v>
      </c>
      <c r="AS239" s="28" t="s">
        <v>8</v>
      </c>
      <c r="AT239" s="28" t="s">
        <v>8</v>
      </c>
      <c r="AU239" s="28" t="s">
        <v>8</v>
      </c>
      <c r="AV239" s="28" t="s">
        <v>8</v>
      </c>
      <c r="AW239" s="28" t="s">
        <v>8</v>
      </c>
    </row>
    <row r="240" spans="2:49">
      <c r="B240" s="1" t="s">
        <v>694</v>
      </c>
      <c r="C240" s="1" t="s">
        <v>695</v>
      </c>
      <c r="D240" s="1" t="s">
        <v>37</v>
      </c>
      <c r="E240" s="1" t="s">
        <v>696</v>
      </c>
      <c r="F240" s="28">
        <v>25</v>
      </c>
      <c r="G240" s="28">
        <v>25</v>
      </c>
      <c r="H240" s="28">
        <v>25</v>
      </c>
      <c r="I240" s="28">
        <v>25</v>
      </c>
      <c r="J240" s="28">
        <v>30</v>
      </c>
      <c r="K240" s="28">
        <v>30</v>
      </c>
      <c r="L240" s="28">
        <v>30</v>
      </c>
      <c r="M240" s="28">
        <v>30</v>
      </c>
      <c r="N240" s="28">
        <v>30</v>
      </c>
      <c r="O240" s="28">
        <v>30</v>
      </c>
      <c r="P240" s="28">
        <v>30</v>
      </c>
      <c r="Q240" s="28">
        <v>30</v>
      </c>
      <c r="R240" s="28">
        <v>30</v>
      </c>
      <c r="S240" s="28">
        <v>30</v>
      </c>
      <c r="T240" s="28">
        <v>30</v>
      </c>
      <c r="U240" s="28">
        <v>30</v>
      </c>
      <c r="V240" s="28">
        <v>30</v>
      </c>
      <c r="W240" s="28">
        <v>30</v>
      </c>
      <c r="X240" s="28">
        <v>30</v>
      </c>
      <c r="Y240" s="28">
        <v>30</v>
      </c>
      <c r="Z240" s="28">
        <v>30</v>
      </c>
      <c r="AA240" s="28">
        <v>30</v>
      </c>
      <c r="AB240" s="28">
        <v>30</v>
      </c>
      <c r="AC240" s="28">
        <v>35</v>
      </c>
      <c r="AD240" s="28">
        <v>30</v>
      </c>
      <c r="AE240" s="28">
        <v>30</v>
      </c>
      <c r="AF240" s="28">
        <v>30</v>
      </c>
      <c r="AG240" s="28">
        <v>30</v>
      </c>
      <c r="AH240" s="28">
        <v>25</v>
      </c>
      <c r="AI240" s="28">
        <v>25</v>
      </c>
      <c r="AJ240" s="28">
        <v>25</v>
      </c>
      <c r="AK240" s="28">
        <v>25</v>
      </c>
      <c r="AL240" s="28">
        <v>25</v>
      </c>
      <c r="AM240" s="28">
        <v>25</v>
      </c>
      <c r="AN240" s="28">
        <v>25</v>
      </c>
      <c r="AO240" s="28">
        <v>25</v>
      </c>
      <c r="AP240" s="28">
        <v>25</v>
      </c>
      <c r="AQ240" s="28">
        <v>25</v>
      </c>
      <c r="AR240" s="28">
        <v>25</v>
      </c>
      <c r="AS240" s="28">
        <v>25</v>
      </c>
      <c r="AT240" s="28">
        <v>25</v>
      </c>
      <c r="AU240" s="28">
        <v>25</v>
      </c>
      <c r="AV240" s="28">
        <v>25</v>
      </c>
      <c r="AW240" s="28">
        <v>25</v>
      </c>
    </row>
    <row r="241" spans="2:49">
      <c r="B241" s="1" t="s">
        <v>697</v>
      </c>
      <c r="C241" s="1" t="s">
        <v>698</v>
      </c>
      <c r="D241" s="1" t="s">
        <v>6</v>
      </c>
      <c r="E241" s="1" t="s">
        <v>698</v>
      </c>
      <c r="F241" s="28">
        <v>49.698999999999998</v>
      </c>
      <c r="G241" s="28">
        <v>49.698999999999998</v>
      </c>
      <c r="H241" s="28">
        <v>49.698999999999998</v>
      </c>
      <c r="I241" s="28">
        <v>49.834000000000003</v>
      </c>
      <c r="J241" s="28">
        <v>49.785400000000003</v>
      </c>
      <c r="K241" s="28">
        <v>49.785400000000003</v>
      </c>
      <c r="L241" s="28">
        <v>49.8232</v>
      </c>
      <c r="M241" s="28">
        <v>44.176000000000002</v>
      </c>
      <c r="N241" s="28">
        <v>38.593600000000002</v>
      </c>
      <c r="O241" s="28">
        <v>38.666200000000003</v>
      </c>
      <c r="P241" s="28">
        <v>38.652999999999999</v>
      </c>
      <c r="Q241" s="28">
        <v>38.850999999999999</v>
      </c>
      <c r="R241" s="28">
        <v>38.864199999999997</v>
      </c>
      <c r="S241" s="28">
        <v>39.7515</v>
      </c>
      <c r="T241" s="28">
        <v>39.686500000000002</v>
      </c>
      <c r="U241" s="28">
        <v>39.608499999999999</v>
      </c>
      <c r="V241" s="28">
        <v>39.530500000000004</v>
      </c>
      <c r="W241" s="28">
        <v>39.452500000000001</v>
      </c>
      <c r="X241" s="28">
        <v>39.439500000000002</v>
      </c>
      <c r="Y241" s="28">
        <v>39.393999999999998</v>
      </c>
      <c r="Z241" s="28">
        <v>39.340000000000003</v>
      </c>
      <c r="AA241" s="28">
        <v>39.270000000000003</v>
      </c>
      <c r="AB241" s="28">
        <v>39.299999999999997</v>
      </c>
      <c r="AC241" s="28">
        <v>39.322499999999998</v>
      </c>
      <c r="AD241" s="28">
        <v>39.316000000000003</v>
      </c>
      <c r="AE241" s="28">
        <v>39.29</v>
      </c>
      <c r="AF241" s="28">
        <v>39.302999999999997</v>
      </c>
      <c r="AG241" s="28">
        <v>39.270499999999998</v>
      </c>
      <c r="AH241" s="28">
        <v>39.250999999999998</v>
      </c>
      <c r="AI241" s="28">
        <v>39.159999999999997</v>
      </c>
      <c r="AJ241" s="28">
        <v>39.205500000000001</v>
      </c>
      <c r="AK241" s="28">
        <v>39.192500000000003</v>
      </c>
      <c r="AL241" s="28">
        <v>39.134</v>
      </c>
      <c r="AM241" s="28">
        <v>39.049500000000002</v>
      </c>
      <c r="AN241" s="28">
        <v>39.075499999999998</v>
      </c>
      <c r="AO241" s="28">
        <v>38.997500000000002</v>
      </c>
      <c r="AP241" s="28">
        <v>38.923934000000003</v>
      </c>
      <c r="AQ241" s="28">
        <v>38.906474000000003</v>
      </c>
      <c r="AR241" s="28">
        <v>25.83858</v>
      </c>
      <c r="AS241" s="28">
        <v>25.886140999999999</v>
      </c>
      <c r="AT241" s="28">
        <v>25.766570999999999</v>
      </c>
      <c r="AU241" s="28">
        <v>25.754567999999999</v>
      </c>
      <c r="AV241" s="28">
        <v>25.808</v>
      </c>
      <c r="AW241" s="28">
        <v>25.768000000000001</v>
      </c>
    </row>
    <row r="242" spans="2:49">
      <c r="B242" s="1" t="s">
        <v>699</v>
      </c>
      <c r="C242" s="1" t="s">
        <v>700</v>
      </c>
      <c r="D242" s="1" t="s">
        <v>11</v>
      </c>
      <c r="E242" s="1" t="s">
        <v>701</v>
      </c>
      <c r="F242" s="28" t="s">
        <v>8</v>
      </c>
      <c r="G242" s="28" t="s">
        <v>8</v>
      </c>
      <c r="H242" s="28" t="s">
        <v>8</v>
      </c>
      <c r="I242" s="28" t="s">
        <v>8</v>
      </c>
      <c r="J242" s="28" t="s">
        <v>8</v>
      </c>
      <c r="K242" s="28" t="s">
        <v>8</v>
      </c>
      <c r="L242" s="28" t="s">
        <v>8</v>
      </c>
      <c r="M242" s="28" t="s">
        <v>8</v>
      </c>
      <c r="N242" s="28" t="s">
        <v>8</v>
      </c>
      <c r="O242" s="28" t="s">
        <v>8</v>
      </c>
      <c r="P242" s="28" t="s">
        <v>8</v>
      </c>
      <c r="Q242" s="28" t="s">
        <v>8</v>
      </c>
      <c r="R242" s="28" t="s">
        <v>8</v>
      </c>
      <c r="S242" s="28" t="s">
        <v>8</v>
      </c>
      <c r="T242" s="28" t="s">
        <v>8</v>
      </c>
      <c r="U242" s="28" t="s">
        <v>8</v>
      </c>
      <c r="V242" s="28" t="s">
        <v>8</v>
      </c>
      <c r="W242" s="28" t="s">
        <v>8</v>
      </c>
      <c r="X242" s="28">
        <v>35</v>
      </c>
      <c r="Y242" s="28">
        <v>33</v>
      </c>
      <c r="Z242" s="28">
        <v>33</v>
      </c>
      <c r="AA242" s="28">
        <v>33</v>
      </c>
      <c r="AB242" s="28">
        <v>33</v>
      </c>
      <c r="AC242" s="28">
        <v>33</v>
      </c>
      <c r="AD242" s="28">
        <v>20</v>
      </c>
      <c r="AE242" s="28">
        <v>18</v>
      </c>
      <c r="AF242" s="28">
        <v>15</v>
      </c>
      <c r="AG242" s="28">
        <v>10</v>
      </c>
      <c r="AH242" s="28">
        <v>10</v>
      </c>
      <c r="AI242" s="28">
        <v>10</v>
      </c>
      <c r="AJ242" s="28">
        <v>9</v>
      </c>
      <c r="AK242" s="28">
        <v>9</v>
      </c>
      <c r="AL242" s="28">
        <v>9</v>
      </c>
      <c r="AM242" s="28">
        <v>9</v>
      </c>
      <c r="AN242" s="28">
        <v>8</v>
      </c>
      <c r="AO242" s="28">
        <v>7.5</v>
      </c>
      <c r="AP242" s="28">
        <v>7.5</v>
      </c>
      <c r="AQ242" s="28">
        <v>7.5</v>
      </c>
      <c r="AR242" s="28">
        <v>14</v>
      </c>
      <c r="AS242" s="28">
        <v>12</v>
      </c>
      <c r="AT242" s="28">
        <v>15</v>
      </c>
      <c r="AU242" s="28">
        <v>15</v>
      </c>
      <c r="AV242" s="28">
        <v>15</v>
      </c>
      <c r="AW242" s="28">
        <v>15</v>
      </c>
    </row>
    <row r="243" spans="2:49">
      <c r="B243" s="1" t="s">
        <v>702</v>
      </c>
      <c r="C243" s="1" t="s">
        <v>703</v>
      </c>
      <c r="D243" s="1" t="s">
        <v>21</v>
      </c>
      <c r="E243" s="1" t="s">
        <v>704</v>
      </c>
      <c r="F243" s="28" t="s">
        <v>8</v>
      </c>
      <c r="G243" s="28" t="s">
        <v>8</v>
      </c>
      <c r="H243" s="28" t="s">
        <v>8</v>
      </c>
      <c r="I243" s="28" t="s">
        <v>8</v>
      </c>
      <c r="J243" s="28" t="s">
        <v>8</v>
      </c>
      <c r="K243" s="28" t="s">
        <v>8</v>
      </c>
      <c r="L243" s="28" t="s">
        <v>8</v>
      </c>
      <c r="M243" s="28" t="s">
        <v>8</v>
      </c>
      <c r="N243" s="28" t="s">
        <v>8</v>
      </c>
      <c r="O243" s="28" t="s">
        <v>8</v>
      </c>
      <c r="P243" s="28" t="s">
        <v>8</v>
      </c>
      <c r="Q243" s="28" t="s">
        <v>8</v>
      </c>
      <c r="R243" s="28" t="s">
        <v>8</v>
      </c>
      <c r="S243" s="28" t="s">
        <v>8</v>
      </c>
      <c r="T243" s="28" t="s">
        <v>8</v>
      </c>
      <c r="U243" s="28" t="s">
        <v>8</v>
      </c>
      <c r="V243" s="28" t="s">
        <v>8</v>
      </c>
      <c r="W243" s="28" t="s">
        <v>8</v>
      </c>
      <c r="X243" s="28" t="s">
        <v>8</v>
      </c>
      <c r="Y243" s="28" t="s">
        <v>8</v>
      </c>
      <c r="Z243" s="28" t="s">
        <v>8</v>
      </c>
      <c r="AA243" s="28" t="s">
        <v>8</v>
      </c>
      <c r="AB243" s="28" t="s">
        <v>8</v>
      </c>
      <c r="AC243" s="28" t="s">
        <v>8</v>
      </c>
      <c r="AD243" s="28" t="s">
        <v>8</v>
      </c>
      <c r="AE243" s="28" t="s">
        <v>8</v>
      </c>
      <c r="AF243" s="28" t="s">
        <v>8</v>
      </c>
      <c r="AG243" s="28" t="s">
        <v>8</v>
      </c>
      <c r="AH243" s="28" t="s">
        <v>8</v>
      </c>
      <c r="AI243" s="28" t="s">
        <v>8</v>
      </c>
      <c r="AJ243" s="28" t="s">
        <v>8</v>
      </c>
      <c r="AK243" s="28" t="s">
        <v>8</v>
      </c>
      <c r="AL243" s="28" t="s">
        <v>8</v>
      </c>
      <c r="AM243" s="28" t="s">
        <v>8</v>
      </c>
      <c r="AN243" s="28" t="s">
        <v>8</v>
      </c>
      <c r="AO243" s="28" t="s">
        <v>8</v>
      </c>
      <c r="AP243" s="28" t="s">
        <v>8</v>
      </c>
      <c r="AQ243" s="28" t="s">
        <v>8</v>
      </c>
      <c r="AR243" s="28" t="s">
        <v>8</v>
      </c>
      <c r="AS243" s="28" t="s">
        <v>8</v>
      </c>
      <c r="AT243" s="28" t="s">
        <v>8</v>
      </c>
      <c r="AU243" s="28" t="s">
        <v>8</v>
      </c>
      <c r="AV243" s="28" t="s">
        <v>8</v>
      </c>
      <c r="AW243" s="28" t="s">
        <v>8</v>
      </c>
    </row>
    <row r="244" spans="2:49">
      <c r="B244" s="1" t="s">
        <v>705</v>
      </c>
      <c r="C244" s="1" t="s">
        <v>706</v>
      </c>
      <c r="D244" s="1" t="s">
        <v>6</v>
      </c>
      <c r="E244" s="1" t="s">
        <v>796</v>
      </c>
      <c r="F244" s="28" t="s">
        <v>8</v>
      </c>
      <c r="G244" s="28" t="s">
        <v>8</v>
      </c>
      <c r="H244" s="28" t="s">
        <v>8</v>
      </c>
      <c r="I244" s="28" t="s">
        <v>8</v>
      </c>
      <c r="J244" s="28" t="s">
        <v>8</v>
      </c>
      <c r="K244" s="28" t="s">
        <v>8</v>
      </c>
      <c r="L244" s="28" t="s">
        <v>8</v>
      </c>
      <c r="M244" s="28" t="s">
        <v>8</v>
      </c>
      <c r="N244" s="28" t="s">
        <v>8</v>
      </c>
      <c r="O244" s="28" t="s">
        <v>8</v>
      </c>
      <c r="P244" s="28" t="s">
        <v>8</v>
      </c>
      <c r="Q244" s="28">
        <v>45</v>
      </c>
      <c r="R244" s="28">
        <v>30</v>
      </c>
      <c r="S244" s="28" t="s">
        <v>8</v>
      </c>
      <c r="T244" s="28" t="s">
        <v>8</v>
      </c>
      <c r="U244" s="28" t="s">
        <v>8</v>
      </c>
      <c r="V244" s="28" t="s">
        <v>8</v>
      </c>
      <c r="W244" s="28" t="s">
        <v>8</v>
      </c>
      <c r="X244" s="28">
        <v>40</v>
      </c>
      <c r="Y244" s="28" t="s">
        <v>8</v>
      </c>
      <c r="Z244" s="28">
        <v>40</v>
      </c>
      <c r="AA244" s="28">
        <v>40</v>
      </c>
      <c r="AB244" s="28">
        <v>40</v>
      </c>
      <c r="AC244" s="28">
        <v>40</v>
      </c>
      <c r="AD244" s="28">
        <v>40</v>
      </c>
      <c r="AE244" s="28">
        <v>40</v>
      </c>
      <c r="AF244" s="28">
        <v>40</v>
      </c>
      <c r="AG244" s="28">
        <v>37.5</v>
      </c>
      <c r="AH244" s="28">
        <v>35</v>
      </c>
      <c r="AI244" s="28">
        <v>32.5</v>
      </c>
      <c r="AJ244" s="28">
        <v>32.5</v>
      </c>
      <c r="AK244" s="28">
        <v>32.5</v>
      </c>
      <c r="AL244" s="28">
        <v>32.5</v>
      </c>
      <c r="AM244" s="28">
        <v>32.5</v>
      </c>
      <c r="AN244" s="28">
        <v>32.5</v>
      </c>
      <c r="AO244" s="28">
        <v>32.5</v>
      </c>
      <c r="AP244" s="28">
        <v>32.5</v>
      </c>
      <c r="AQ244" s="28">
        <v>32.5</v>
      </c>
      <c r="AR244" s="28">
        <v>33</v>
      </c>
      <c r="AS244" s="28">
        <v>30</v>
      </c>
      <c r="AT244" s="28">
        <v>30</v>
      </c>
      <c r="AU244" s="28">
        <v>30</v>
      </c>
      <c r="AV244" s="28">
        <v>30</v>
      </c>
      <c r="AW244" s="28">
        <v>28</v>
      </c>
    </row>
    <row r="245" spans="2:49">
      <c r="B245" s="1" t="s">
        <v>707</v>
      </c>
      <c r="C245" s="1" t="s">
        <v>708</v>
      </c>
      <c r="D245" s="1" t="s">
        <v>37</v>
      </c>
      <c r="E245" s="1" t="s">
        <v>777</v>
      </c>
      <c r="F245" s="28">
        <v>50</v>
      </c>
      <c r="G245" s="28">
        <v>50</v>
      </c>
      <c r="H245" s="28">
        <v>50</v>
      </c>
      <c r="I245" s="28">
        <v>50</v>
      </c>
      <c r="J245" s="28">
        <v>50</v>
      </c>
      <c r="K245" s="28">
        <v>50</v>
      </c>
      <c r="L245" s="28">
        <v>50</v>
      </c>
      <c r="M245" s="28">
        <v>50</v>
      </c>
      <c r="N245" s="28">
        <v>50</v>
      </c>
      <c r="O245" s="28">
        <v>50</v>
      </c>
      <c r="P245" s="28">
        <v>50</v>
      </c>
      <c r="Q245" s="28">
        <v>50</v>
      </c>
      <c r="R245" s="28">
        <v>30</v>
      </c>
      <c r="S245" s="28">
        <v>30</v>
      </c>
      <c r="T245" s="28">
        <v>30</v>
      </c>
      <c r="U245" s="28">
        <v>34</v>
      </c>
      <c r="V245" s="28">
        <v>34</v>
      </c>
      <c r="W245" s="28">
        <v>34</v>
      </c>
      <c r="X245" s="28">
        <v>34</v>
      </c>
      <c r="Y245" s="28">
        <v>34</v>
      </c>
      <c r="Z245" s="28">
        <v>34</v>
      </c>
      <c r="AA245" s="28">
        <v>34</v>
      </c>
      <c r="AB245" s="28">
        <v>34</v>
      </c>
      <c r="AC245" s="28">
        <v>34</v>
      </c>
      <c r="AD245" s="28">
        <v>34</v>
      </c>
      <c r="AE245" s="28">
        <v>34</v>
      </c>
      <c r="AF245" s="28">
        <v>34</v>
      </c>
      <c r="AG245" s="28">
        <v>34</v>
      </c>
      <c r="AH245" s="28">
        <v>34</v>
      </c>
      <c r="AI245" s="28">
        <v>34</v>
      </c>
      <c r="AJ245" s="28">
        <v>34</v>
      </c>
      <c r="AK245" s="28">
        <v>34</v>
      </c>
      <c r="AL245" s="28">
        <v>34</v>
      </c>
      <c r="AM245" s="28">
        <v>34</v>
      </c>
      <c r="AN245" s="28">
        <v>34</v>
      </c>
      <c r="AO245" s="28">
        <v>34</v>
      </c>
      <c r="AP245" s="28">
        <v>34</v>
      </c>
      <c r="AQ245" s="28">
        <v>34</v>
      </c>
      <c r="AR245" s="28">
        <v>34</v>
      </c>
      <c r="AS245" s="28">
        <v>34</v>
      </c>
      <c r="AT245" s="28">
        <v>34</v>
      </c>
      <c r="AU245" s="28">
        <v>34</v>
      </c>
      <c r="AV245" s="28">
        <v>34</v>
      </c>
      <c r="AW245" s="28">
        <v>34</v>
      </c>
    </row>
    <row r="246" spans="2:49">
      <c r="B246" s="1" t="s">
        <v>709</v>
      </c>
      <c r="C246" s="1" t="s">
        <v>710</v>
      </c>
      <c r="D246" s="1" t="s">
        <v>6</v>
      </c>
      <c r="E246" s="1" t="s">
        <v>711</v>
      </c>
      <c r="F246" s="28" t="s">
        <v>8</v>
      </c>
      <c r="G246" s="28" t="s">
        <v>8</v>
      </c>
      <c r="H246" s="28" t="s">
        <v>8</v>
      </c>
      <c r="I246" s="28" t="s">
        <v>8</v>
      </c>
      <c r="J246" s="28">
        <v>15</v>
      </c>
      <c r="K246" s="28">
        <v>15</v>
      </c>
      <c r="L246" s="28">
        <v>15</v>
      </c>
      <c r="M246" s="28">
        <v>15</v>
      </c>
      <c r="N246" s="28">
        <v>15</v>
      </c>
      <c r="O246" s="28">
        <v>15</v>
      </c>
      <c r="P246" s="28">
        <v>15</v>
      </c>
      <c r="Q246" s="28">
        <v>15</v>
      </c>
      <c r="R246" s="28">
        <v>15</v>
      </c>
      <c r="S246" s="28">
        <v>15</v>
      </c>
      <c r="T246" s="28">
        <v>15</v>
      </c>
      <c r="U246" s="28">
        <v>15</v>
      </c>
      <c r="V246" s="28">
        <v>15</v>
      </c>
      <c r="W246" s="28">
        <v>15</v>
      </c>
      <c r="X246" s="28">
        <v>15</v>
      </c>
      <c r="Y246" s="28">
        <v>15</v>
      </c>
      <c r="Z246" s="28">
        <v>15</v>
      </c>
      <c r="AA246" s="28">
        <v>15</v>
      </c>
      <c r="AB246" s="28">
        <v>15</v>
      </c>
      <c r="AC246" s="28">
        <v>15</v>
      </c>
      <c r="AD246" s="28">
        <v>15</v>
      </c>
      <c r="AE246" s="28">
        <v>15</v>
      </c>
      <c r="AF246" s="28">
        <v>0</v>
      </c>
      <c r="AG246" s="28">
        <v>0</v>
      </c>
      <c r="AH246" s="28">
        <v>0</v>
      </c>
      <c r="AI246" s="28">
        <v>0</v>
      </c>
      <c r="AJ246" s="28">
        <v>0</v>
      </c>
      <c r="AK246" s="28">
        <v>0</v>
      </c>
      <c r="AL246" s="28">
        <v>0</v>
      </c>
      <c r="AM246" s="28">
        <v>0</v>
      </c>
      <c r="AN246" s="28">
        <v>0</v>
      </c>
      <c r="AO246" s="28">
        <v>0</v>
      </c>
      <c r="AP246" s="28">
        <v>0</v>
      </c>
      <c r="AQ246" s="28">
        <v>0</v>
      </c>
      <c r="AR246" s="28">
        <v>0</v>
      </c>
      <c r="AS246" s="28">
        <v>0</v>
      </c>
      <c r="AT246" s="28">
        <v>0</v>
      </c>
      <c r="AU246" s="28">
        <v>0</v>
      </c>
      <c r="AV246" s="28">
        <v>0</v>
      </c>
      <c r="AW246" s="28">
        <v>0</v>
      </c>
    </row>
    <row r="247" spans="2:49">
      <c r="B247" s="1" t="s">
        <v>712</v>
      </c>
      <c r="C247" s="1" t="s">
        <v>713</v>
      </c>
      <c r="D247" s="1" t="s">
        <v>6</v>
      </c>
      <c r="E247" s="1" t="s">
        <v>714</v>
      </c>
      <c r="F247" s="28" t="s">
        <v>8</v>
      </c>
      <c r="G247" s="28" t="s">
        <v>8</v>
      </c>
      <c r="H247" s="28" t="s">
        <v>8</v>
      </c>
      <c r="I247" s="28" t="s">
        <v>8</v>
      </c>
      <c r="J247" s="28" t="s">
        <v>8</v>
      </c>
      <c r="K247" s="28" t="s">
        <v>8</v>
      </c>
      <c r="L247" s="28" t="s">
        <v>8</v>
      </c>
      <c r="M247" s="28" t="s">
        <v>8</v>
      </c>
      <c r="N247" s="28" t="s">
        <v>8</v>
      </c>
      <c r="O247" s="28" t="s">
        <v>8</v>
      </c>
      <c r="P247" s="28" t="s">
        <v>8</v>
      </c>
      <c r="Q247" s="28" t="s">
        <v>8</v>
      </c>
      <c r="R247" s="28" t="s">
        <v>8</v>
      </c>
      <c r="S247" s="28" t="s">
        <v>8</v>
      </c>
      <c r="T247" s="28" t="s">
        <v>8</v>
      </c>
      <c r="U247" s="28" t="s">
        <v>8</v>
      </c>
      <c r="V247" s="28" t="s">
        <v>8</v>
      </c>
      <c r="W247" s="28" t="s">
        <v>8</v>
      </c>
      <c r="X247" s="28" t="s">
        <v>8</v>
      </c>
      <c r="Y247" s="28" t="s">
        <v>8</v>
      </c>
      <c r="Z247" s="28">
        <v>38.5</v>
      </c>
      <c r="AA247" s="28">
        <v>38.5</v>
      </c>
      <c r="AB247" s="28">
        <v>38.5</v>
      </c>
      <c r="AC247" s="28" t="s">
        <v>8</v>
      </c>
      <c r="AD247" s="28">
        <v>38.5</v>
      </c>
      <c r="AE247" s="28">
        <v>38.5</v>
      </c>
      <c r="AF247" s="28">
        <v>38.5</v>
      </c>
      <c r="AG247" s="28">
        <v>38.5</v>
      </c>
      <c r="AH247" s="28">
        <v>38.5</v>
      </c>
      <c r="AI247" s="28">
        <v>38.5</v>
      </c>
      <c r="AJ247" s="28">
        <v>38.5</v>
      </c>
      <c r="AK247" s="28">
        <v>38.5</v>
      </c>
      <c r="AL247" s="28">
        <v>38.5</v>
      </c>
      <c r="AM247" s="28">
        <v>38.5</v>
      </c>
      <c r="AN247" s="28">
        <v>38.5</v>
      </c>
      <c r="AO247" s="28">
        <v>38.5</v>
      </c>
      <c r="AP247" s="28">
        <v>38.5</v>
      </c>
      <c r="AQ247" s="28">
        <v>38.5</v>
      </c>
      <c r="AR247" s="28">
        <v>23.1</v>
      </c>
      <c r="AS247" s="28">
        <v>23.1</v>
      </c>
      <c r="AT247" s="28">
        <v>23.1</v>
      </c>
      <c r="AU247" s="28">
        <v>23.1</v>
      </c>
      <c r="AV247" s="28">
        <v>23.1</v>
      </c>
      <c r="AW247" s="28">
        <v>23.1</v>
      </c>
    </row>
    <row r="248" spans="2:49">
      <c r="B248" s="1" t="s">
        <v>715</v>
      </c>
      <c r="C248" s="1" t="s">
        <v>716</v>
      </c>
      <c r="D248" s="1" t="s">
        <v>11</v>
      </c>
      <c r="E248" s="1" t="s">
        <v>717</v>
      </c>
      <c r="F248" s="28" t="s">
        <v>8</v>
      </c>
      <c r="G248" s="28" t="s">
        <v>8</v>
      </c>
      <c r="H248" s="28" t="s">
        <v>8</v>
      </c>
      <c r="I248" s="28" t="s">
        <v>8</v>
      </c>
      <c r="J248" s="28" t="s">
        <v>8</v>
      </c>
      <c r="K248" s="28" t="s">
        <v>8</v>
      </c>
      <c r="L248" s="28" t="s">
        <v>8</v>
      </c>
      <c r="M248" s="28" t="s">
        <v>8</v>
      </c>
      <c r="N248" s="28" t="s">
        <v>8</v>
      </c>
      <c r="O248" s="28" t="s">
        <v>8</v>
      </c>
      <c r="P248" s="28" t="s">
        <v>8</v>
      </c>
      <c r="Q248" s="28" t="s">
        <v>8</v>
      </c>
      <c r="R248" s="28" t="s">
        <v>8</v>
      </c>
      <c r="S248" s="28">
        <v>25</v>
      </c>
      <c r="T248" s="28">
        <v>25</v>
      </c>
      <c r="U248" s="28">
        <v>25</v>
      </c>
      <c r="V248" s="28">
        <v>25</v>
      </c>
      <c r="W248" s="28">
        <v>25</v>
      </c>
      <c r="X248" s="28">
        <v>25</v>
      </c>
      <c r="Y248" s="28">
        <v>32</v>
      </c>
      <c r="Z248" s="28">
        <v>32</v>
      </c>
      <c r="AA248" s="28">
        <v>32</v>
      </c>
      <c r="AB248" s="28">
        <v>32</v>
      </c>
      <c r="AC248" s="28">
        <v>32</v>
      </c>
      <c r="AD248" s="28">
        <v>28</v>
      </c>
      <c r="AE248" s="28">
        <v>28</v>
      </c>
      <c r="AF248" s="28">
        <v>28</v>
      </c>
      <c r="AG248" s="28">
        <v>28</v>
      </c>
      <c r="AH248" s="28">
        <v>28</v>
      </c>
      <c r="AI248" s="28">
        <v>25</v>
      </c>
      <c r="AJ248" s="28">
        <v>25</v>
      </c>
      <c r="AK248" s="28">
        <v>25</v>
      </c>
      <c r="AL248" s="28">
        <v>25</v>
      </c>
      <c r="AM248" s="28">
        <v>25</v>
      </c>
      <c r="AN248" s="28">
        <v>22</v>
      </c>
      <c r="AO248" s="28">
        <v>22</v>
      </c>
      <c r="AP248" s="28">
        <v>22</v>
      </c>
      <c r="AQ248" s="28">
        <v>20</v>
      </c>
      <c r="AR248" s="28">
        <v>20</v>
      </c>
      <c r="AS248" s="28">
        <v>20</v>
      </c>
      <c r="AT248" s="28">
        <v>20</v>
      </c>
      <c r="AU248" s="28">
        <v>20</v>
      </c>
      <c r="AV248" s="28">
        <v>20</v>
      </c>
      <c r="AW248" s="28">
        <v>20</v>
      </c>
    </row>
    <row r="249" spans="2:49">
      <c r="B249" s="1" t="s">
        <v>718</v>
      </c>
      <c r="C249" s="1" t="s">
        <v>719</v>
      </c>
      <c r="D249" s="1" t="s">
        <v>43</v>
      </c>
      <c r="E249" s="1" t="s">
        <v>720</v>
      </c>
      <c r="F249" s="28">
        <v>0</v>
      </c>
      <c r="G249" s="28">
        <v>0</v>
      </c>
      <c r="H249" s="28">
        <v>0</v>
      </c>
      <c r="I249" s="28">
        <v>0</v>
      </c>
      <c r="J249" s="28">
        <v>0</v>
      </c>
      <c r="K249" s="28">
        <v>0</v>
      </c>
      <c r="L249" s="28">
        <v>0</v>
      </c>
      <c r="M249" s="28">
        <v>0</v>
      </c>
      <c r="N249" s="28">
        <v>0</v>
      </c>
      <c r="O249" s="28">
        <v>0</v>
      </c>
      <c r="P249" s="28">
        <v>0</v>
      </c>
      <c r="Q249" s="28">
        <v>0</v>
      </c>
      <c r="R249" s="28">
        <v>0</v>
      </c>
      <c r="S249" s="28">
        <v>0</v>
      </c>
      <c r="T249" s="28">
        <v>0</v>
      </c>
      <c r="U249" s="28">
        <v>0</v>
      </c>
      <c r="V249" s="28">
        <v>0</v>
      </c>
      <c r="W249" s="28">
        <v>0</v>
      </c>
      <c r="X249" s="28">
        <v>0</v>
      </c>
      <c r="Y249" s="28">
        <v>0</v>
      </c>
      <c r="Z249" s="28">
        <v>0</v>
      </c>
      <c r="AA249" s="28">
        <v>0</v>
      </c>
      <c r="AB249" s="28" t="s">
        <v>8</v>
      </c>
      <c r="AC249" s="28" t="s">
        <v>8</v>
      </c>
      <c r="AD249" s="28" t="s">
        <v>8</v>
      </c>
      <c r="AE249" s="28" t="s">
        <v>8</v>
      </c>
      <c r="AF249" s="28" t="s">
        <v>8</v>
      </c>
      <c r="AG249" s="28" t="s">
        <v>8</v>
      </c>
      <c r="AH249" s="28" t="s">
        <v>8</v>
      </c>
      <c r="AI249" s="28" t="s">
        <v>8</v>
      </c>
      <c r="AJ249" s="28">
        <v>0</v>
      </c>
      <c r="AK249" s="28">
        <v>0</v>
      </c>
      <c r="AL249" s="28">
        <v>0</v>
      </c>
      <c r="AM249" s="28">
        <v>0</v>
      </c>
      <c r="AN249" s="28">
        <v>0</v>
      </c>
      <c r="AO249" s="28">
        <v>0</v>
      </c>
      <c r="AP249" s="28">
        <v>0</v>
      </c>
      <c r="AQ249" s="28">
        <v>0</v>
      </c>
      <c r="AR249" s="28">
        <v>0</v>
      </c>
      <c r="AS249" s="28">
        <v>0</v>
      </c>
      <c r="AT249" s="28">
        <v>0</v>
      </c>
      <c r="AU249" s="28">
        <v>0</v>
      </c>
      <c r="AV249" s="28">
        <v>0</v>
      </c>
      <c r="AW249" s="28">
        <v>0</v>
      </c>
    </row>
    <row r="250" spans="2:49">
      <c r="B250" s="1" t="s">
        <v>721</v>
      </c>
      <c r="C250" s="1" t="s">
        <v>722</v>
      </c>
      <c r="D250" s="1" t="s">
        <v>43</v>
      </c>
      <c r="E250" s="1" t="s">
        <v>723</v>
      </c>
      <c r="F250" s="28" t="s">
        <v>8</v>
      </c>
      <c r="G250" s="28" t="s">
        <v>8</v>
      </c>
      <c r="H250" s="28" t="s">
        <v>8</v>
      </c>
      <c r="I250" s="28" t="s">
        <v>8</v>
      </c>
      <c r="J250" s="28" t="s">
        <v>8</v>
      </c>
      <c r="K250" s="28" t="s">
        <v>8</v>
      </c>
      <c r="L250" s="28" t="s">
        <v>8</v>
      </c>
      <c r="M250" s="28" t="s">
        <v>8</v>
      </c>
      <c r="N250" s="28" t="s">
        <v>8</v>
      </c>
      <c r="O250" s="28" t="s">
        <v>8</v>
      </c>
      <c r="P250" s="28" t="s">
        <v>8</v>
      </c>
      <c r="Q250" s="28" t="s">
        <v>8</v>
      </c>
      <c r="R250" s="28" t="s">
        <v>8</v>
      </c>
      <c r="S250" s="28" t="s">
        <v>8</v>
      </c>
      <c r="T250" s="28" t="s">
        <v>8</v>
      </c>
      <c r="U250" s="28" t="s">
        <v>8</v>
      </c>
      <c r="V250" s="28" t="s">
        <v>8</v>
      </c>
      <c r="W250" s="28" t="s">
        <v>8</v>
      </c>
      <c r="X250" s="28" t="s">
        <v>8</v>
      </c>
      <c r="Y250" s="28" t="s">
        <v>8</v>
      </c>
      <c r="Z250" s="28" t="s">
        <v>8</v>
      </c>
      <c r="AA250" s="28" t="s">
        <v>8</v>
      </c>
      <c r="AB250" s="28" t="s">
        <v>8</v>
      </c>
      <c r="AC250" s="28" t="s">
        <v>8</v>
      </c>
      <c r="AD250" s="28" t="s">
        <v>8</v>
      </c>
      <c r="AE250" s="28" t="s">
        <v>8</v>
      </c>
      <c r="AF250" s="28" t="s">
        <v>8</v>
      </c>
      <c r="AG250" s="28" t="s">
        <v>8</v>
      </c>
      <c r="AH250" s="28" t="s">
        <v>8</v>
      </c>
      <c r="AI250" s="28" t="s">
        <v>8</v>
      </c>
      <c r="AJ250" s="28" t="s">
        <v>8</v>
      </c>
      <c r="AK250" s="28" t="s">
        <v>8</v>
      </c>
      <c r="AL250" s="28" t="s">
        <v>8</v>
      </c>
      <c r="AM250" s="28" t="s">
        <v>8</v>
      </c>
      <c r="AN250" s="28">
        <v>0</v>
      </c>
      <c r="AO250" s="28">
        <v>0</v>
      </c>
      <c r="AP250" s="28">
        <v>0</v>
      </c>
      <c r="AQ250" s="28">
        <v>0</v>
      </c>
      <c r="AR250" s="28">
        <v>0</v>
      </c>
      <c r="AS250" s="28">
        <v>0</v>
      </c>
      <c r="AT250" s="28">
        <v>0</v>
      </c>
      <c r="AU250" s="28">
        <v>0</v>
      </c>
      <c r="AV250" s="28">
        <v>0</v>
      </c>
      <c r="AW250" s="28">
        <v>0</v>
      </c>
    </row>
    <row r="251" spans="2:49">
      <c r="B251" s="1" t="s">
        <v>724</v>
      </c>
      <c r="C251" s="1" t="s">
        <v>725</v>
      </c>
      <c r="D251" s="1" t="s">
        <v>43</v>
      </c>
      <c r="E251" s="1" t="s">
        <v>726</v>
      </c>
      <c r="F251" s="28">
        <v>42</v>
      </c>
      <c r="G251" s="28">
        <v>42</v>
      </c>
      <c r="H251" s="28">
        <v>42</v>
      </c>
      <c r="I251" s="28">
        <v>42</v>
      </c>
      <c r="J251" s="28">
        <v>42</v>
      </c>
      <c r="K251" s="28">
        <v>42</v>
      </c>
      <c r="L251" s="28">
        <v>42</v>
      </c>
      <c r="M251" s="28">
        <v>39</v>
      </c>
      <c r="N251" s="28">
        <v>39</v>
      </c>
      <c r="O251" s="28">
        <v>39</v>
      </c>
      <c r="P251" s="28">
        <v>39</v>
      </c>
      <c r="Q251" s="28">
        <v>39</v>
      </c>
      <c r="R251" s="28">
        <v>39</v>
      </c>
      <c r="S251" s="28">
        <v>39</v>
      </c>
      <c r="T251" s="28">
        <v>39</v>
      </c>
      <c r="U251" s="28">
        <v>39</v>
      </c>
      <c r="V251" s="28">
        <v>39</v>
      </c>
      <c r="W251" s="28">
        <v>39</v>
      </c>
      <c r="X251" s="28">
        <v>39</v>
      </c>
      <c r="Y251" s="28">
        <v>39</v>
      </c>
      <c r="Z251" s="28">
        <v>39</v>
      </c>
      <c r="AA251" s="28">
        <v>35</v>
      </c>
      <c r="AB251" s="28">
        <v>35</v>
      </c>
      <c r="AC251" s="28">
        <v>29</v>
      </c>
      <c r="AD251" s="28">
        <v>29</v>
      </c>
      <c r="AE251" s="28">
        <v>29</v>
      </c>
      <c r="AF251" s="28">
        <v>29</v>
      </c>
      <c r="AG251" s="28">
        <v>27</v>
      </c>
      <c r="AH251" s="28">
        <v>27</v>
      </c>
      <c r="AI251" s="28">
        <v>27</v>
      </c>
      <c r="AJ251" s="28">
        <v>27</v>
      </c>
      <c r="AK251" s="28">
        <v>27</v>
      </c>
      <c r="AL251" s="28">
        <v>27</v>
      </c>
      <c r="AM251" s="28">
        <v>27</v>
      </c>
      <c r="AN251" s="28">
        <v>27</v>
      </c>
      <c r="AO251" s="28">
        <v>27</v>
      </c>
      <c r="AP251" s="28">
        <v>27</v>
      </c>
      <c r="AQ251" s="28">
        <v>27</v>
      </c>
      <c r="AR251" s="28">
        <v>27</v>
      </c>
      <c r="AS251" s="28">
        <v>27</v>
      </c>
      <c r="AT251" s="28">
        <v>27</v>
      </c>
      <c r="AU251" s="28">
        <v>27</v>
      </c>
      <c r="AV251" s="28">
        <v>27</v>
      </c>
      <c r="AW251" s="28">
        <v>27</v>
      </c>
    </row>
    <row r="252" spans="2:49">
      <c r="B252" s="1" t="s">
        <v>727</v>
      </c>
      <c r="C252" s="1" t="s">
        <v>728</v>
      </c>
      <c r="D252" s="1" t="s">
        <v>21</v>
      </c>
      <c r="E252" s="1" t="s">
        <v>729</v>
      </c>
      <c r="F252" s="28" t="s">
        <v>8</v>
      </c>
      <c r="G252" s="28" t="s">
        <v>8</v>
      </c>
      <c r="H252" s="28" t="s">
        <v>8</v>
      </c>
      <c r="I252" s="28" t="s">
        <v>8</v>
      </c>
      <c r="J252" s="28" t="s">
        <v>8</v>
      </c>
      <c r="K252" s="28" t="s">
        <v>8</v>
      </c>
      <c r="L252" s="28" t="s">
        <v>8</v>
      </c>
      <c r="M252" s="28" t="s">
        <v>8</v>
      </c>
      <c r="N252" s="28" t="s">
        <v>8</v>
      </c>
      <c r="O252" s="28" t="s">
        <v>8</v>
      </c>
      <c r="P252" s="28" t="s">
        <v>8</v>
      </c>
      <c r="Q252" s="28" t="s">
        <v>8</v>
      </c>
      <c r="R252" s="28" t="s">
        <v>8</v>
      </c>
      <c r="S252" s="28" t="s">
        <v>8</v>
      </c>
      <c r="T252" s="28" t="s">
        <v>8</v>
      </c>
      <c r="U252" s="28" t="s">
        <v>8</v>
      </c>
      <c r="V252" s="28" t="s">
        <v>8</v>
      </c>
      <c r="W252" s="28" t="s">
        <v>8</v>
      </c>
      <c r="X252" s="28" t="s">
        <v>8</v>
      </c>
      <c r="Y252" s="28" t="s">
        <v>8</v>
      </c>
      <c r="Z252" s="28" t="s">
        <v>8</v>
      </c>
      <c r="AA252" s="28" t="s">
        <v>8</v>
      </c>
      <c r="AB252" s="28" t="s">
        <v>8</v>
      </c>
      <c r="AC252" s="28" t="s">
        <v>8</v>
      </c>
      <c r="AD252" s="28" t="s">
        <v>8</v>
      </c>
      <c r="AE252" s="28" t="s">
        <v>8</v>
      </c>
      <c r="AF252" s="28" t="s">
        <v>8</v>
      </c>
      <c r="AG252" s="28" t="s">
        <v>8</v>
      </c>
      <c r="AH252" s="28" t="s">
        <v>8</v>
      </c>
      <c r="AI252" s="28" t="s">
        <v>8</v>
      </c>
      <c r="AJ252" s="28" t="s">
        <v>8</v>
      </c>
      <c r="AK252" s="28" t="s">
        <v>8</v>
      </c>
      <c r="AL252" s="28" t="s">
        <v>8</v>
      </c>
      <c r="AM252" s="28" t="s">
        <v>8</v>
      </c>
      <c r="AN252" s="28">
        <v>10</v>
      </c>
      <c r="AO252" s="28">
        <v>10</v>
      </c>
      <c r="AP252" s="28">
        <v>10</v>
      </c>
      <c r="AQ252" s="28">
        <v>10</v>
      </c>
      <c r="AR252" s="28">
        <v>10</v>
      </c>
      <c r="AS252" s="28">
        <v>10</v>
      </c>
      <c r="AT252" s="28">
        <v>10</v>
      </c>
      <c r="AU252" s="28">
        <v>10</v>
      </c>
      <c r="AV252" s="28">
        <v>10</v>
      </c>
      <c r="AW252" s="28">
        <v>10</v>
      </c>
    </row>
    <row r="253" spans="2:49">
      <c r="B253" s="1" t="s">
        <v>730</v>
      </c>
      <c r="C253" s="1" t="s">
        <v>731</v>
      </c>
      <c r="D253" s="1" t="s">
        <v>11</v>
      </c>
      <c r="E253" s="1" t="s">
        <v>732</v>
      </c>
      <c r="F253" s="28" t="s">
        <v>8</v>
      </c>
      <c r="G253" s="28" t="s">
        <v>8</v>
      </c>
      <c r="H253" s="28" t="s">
        <v>8</v>
      </c>
      <c r="I253" s="28" t="s">
        <v>8</v>
      </c>
      <c r="J253" s="28" t="s">
        <v>8</v>
      </c>
      <c r="K253" s="28" t="s">
        <v>8</v>
      </c>
      <c r="L253" s="28" t="s">
        <v>8</v>
      </c>
      <c r="M253" s="28" t="s">
        <v>8</v>
      </c>
      <c r="N253" s="28" t="s">
        <v>8</v>
      </c>
      <c r="O253" s="28" t="s">
        <v>8</v>
      </c>
      <c r="P253" s="28" t="s">
        <v>8</v>
      </c>
      <c r="Q253" s="28" t="s">
        <v>8</v>
      </c>
      <c r="R253" s="28" t="s">
        <v>8</v>
      </c>
      <c r="S253" s="28" t="s">
        <v>8</v>
      </c>
      <c r="T253" s="28" t="s">
        <v>8</v>
      </c>
      <c r="U253" s="28">
        <v>36</v>
      </c>
      <c r="V253" s="28">
        <v>36</v>
      </c>
      <c r="W253" s="28">
        <v>32</v>
      </c>
      <c r="X253" s="28">
        <v>32</v>
      </c>
      <c r="Y253" s="28">
        <v>35</v>
      </c>
      <c r="Z253" s="28">
        <v>35</v>
      </c>
      <c r="AA253" s="28">
        <v>35</v>
      </c>
      <c r="AB253" s="28">
        <v>35</v>
      </c>
      <c r="AC253" s="28">
        <v>35</v>
      </c>
      <c r="AD253" s="28">
        <v>35</v>
      </c>
      <c r="AE253" s="28">
        <v>35</v>
      </c>
      <c r="AF253" s="28">
        <v>35</v>
      </c>
      <c r="AG253" s="28">
        <v>35</v>
      </c>
      <c r="AH253" s="28">
        <v>35</v>
      </c>
      <c r="AI253" s="28">
        <v>35</v>
      </c>
      <c r="AJ253" s="28">
        <v>35</v>
      </c>
      <c r="AK253" s="28">
        <v>20</v>
      </c>
      <c r="AL253" s="28">
        <v>20</v>
      </c>
      <c r="AM253" s="28">
        <v>20</v>
      </c>
      <c r="AN253" s="28">
        <v>20</v>
      </c>
      <c r="AO253" s="28">
        <v>20</v>
      </c>
      <c r="AP253" s="28">
        <v>20</v>
      </c>
      <c r="AQ253" s="28">
        <v>20</v>
      </c>
      <c r="AR253" s="28">
        <v>20</v>
      </c>
      <c r="AS253" s="28">
        <v>20</v>
      </c>
      <c r="AT253" s="28">
        <v>20</v>
      </c>
      <c r="AU253" s="28">
        <v>20</v>
      </c>
      <c r="AV253" s="28">
        <v>20</v>
      </c>
      <c r="AW253" s="28">
        <v>20</v>
      </c>
    </row>
    <row r="254" spans="2:49">
      <c r="B254" s="1" t="s">
        <v>733</v>
      </c>
      <c r="C254" s="1" t="s">
        <v>734</v>
      </c>
      <c r="D254" s="1" t="s">
        <v>9</v>
      </c>
      <c r="E254" s="1" t="s">
        <v>735</v>
      </c>
      <c r="F254" s="28">
        <v>42</v>
      </c>
      <c r="G254" s="28">
        <v>40</v>
      </c>
      <c r="H254" s="28">
        <v>40</v>
      </c>
      <c r="I254" s="28">
        <v>42</v>
      </c>
      <c r="J254" s="28">
        <v>42</v>
      </c>
      <c r="K254" s="28">
        <v>50</v>
      </c>
      <c r="L254" s="28">
        <v>50</v>
      </c>
      <c r="M254" s="28">
        <v>50</v>
      </c>
      <c r="N254" s="28">
        <v>50</v>
      </c>
      <c r="O254" s="28">
        <v>50</v>
      </c>
      <c r="P254" s="28">
        <v>50</v>
      </c>
      <c r="Q254" s="28">
        <v>50</v>
      </c>
      <c r="R254" s="28">
        <v>48</v>
      </c>
      <c r="S254" s="28" t="s">
        <v>8</v>
      </c>
      <c r="T254" s="28" t="s">
        <v>8</v>
      </c>
      <c r="U254" s="28" t="s">
        <v>8</v>
      </c>
      <c r="V254" s="28" t="s">
        <v>8</v>
      </c>
      <c r="W254" s="28" t="s">
        <v>8</v>
      </c>
      <c r="X254" s="28" t="s">
        <v>8</v>
      </c>
      <c r="Y254" s="28" t="s">
        <v>8</v>
      </c>
      <c r="Z254" s="28">
        <v>37.799999999999997</v>
      </c>
      <c r="AA254" s="28">
        <v>37.799999999999997</v>
      </c>
      <c r="AB254" s="28">
        <v>37.799999999999997</v>
      </c>
      <c r="AC254" s="28">
        <v>37.799999999999997</v>
      </c>
      <c r="AD254" s="28">
        <v>37.799999999999997</v>
      </c>
      <c r="AE254" s="28">
        <v>37.799999999999997</v>
      </c>
      <c r="AF254" s="28">
        <v>36.89</v>
      </c>
      <c r="AG254" s="28">
        <v>36.89</v>
      </c>
      <c r="AH254" s="28">
        <v>34.549999999999997</v>
      </c>
      <c r="AI254" s="28">
        <v>34.549999999999997</v>
      </c>
      <c r="AJ254" s="28">
        <v>34.549999999999997</v>
      </c>
      <c r="AK254" s="28">
        <v>34.549999999999997</v>
      </c>
      <c r="AL254" s="28">
        <v>34.549999999999997</v>
      </c>
      <c r="AM254" s="28">
        <v>28</v>
      </c>
      <c r="AN254" s="28">
        <v>28</v>
      </c>
      <c r="AO254" s="28">
        <v>28</v>
      </c>
      <c r="AP254" s="28">
        <v>28</v>
      </c>
      <c r="AQ254" s="28">
        <v>28</v>
      </c>
      <c r="AR254" s="28">
        <v>28</v>
      </c>
      <c r="AS254" s="28">
        <v>28</v>
      </c>
      <c r="AT254" s="28">
        <v>28</v>
      </c>
      <c r="AU254" s="28">
        <v>28</v>
      </c>
      <c r="AV254" s="28">
        <v>28</v>
      </c>
      <c r="AW254" s="28">
        <v>27</v>
      </c>
    </row>
    <row r="255" spans="2:49">
      <c r="B255" s="1" t="s">
        <v>736</v>
      </c>
      <c r="C255" s="1" t="s">
        <v>737</v>
      </c>
      <c r="D255" s="1" t="s">
        <v>9</v>
      </c>
      <c r="E255" s="1" t="s">
        <v>738</v>
      </c>
      <c r="F255" s="28">
        <v>48</v>
      </c>
      <c r="G255" s="28">
        <v>48</v>
      </c>
      <c r="H255" s="28">
        <v>50</v>
      </c>
      <c r="I255" s="28">
        <v>45</v>
      </c>
      <c r="J255" s="28">
        <v>45</v>
      </c>
      <c r="K255" s="28">
        <v>50</v>
      </c>
      <c r="L255" s="28">
        <v>50</v>
      </c>
      <c r="M255" s="28">
        <v>45</v>
      </c>
      <c r="N255" s="28">
        <v>45</v>
      </c>
      <c r="O255" s="28">
        <v>45</v>
      </c>
      <c r="P255" s="28">
        <v>45</v>
      </c>
      <c r="Q255" s="28">
        <v>45</v>
      </c>
      <c r="R255" s="28">
        <v>40</v>
      </c>
      <c r="S255" s="28">
        <v>40</v>
      </c>
      <c r="T255" s="28">
        <v>35</v>
      </c>
      <c r="U255" s="28">
        <v>35</v>
      </c>
      <c r="V255" s="28">
        <v>35</v>
      </c>
      <c r="W255" s="28">
        <v>35</v>
      </c>
      <c r="X255" s="28">
        <v>35</v>
      </c>
      <c r="Y255" s="28">
        <v>35</v>
      </c>
      <c r="Z255" s="28">
        <v>35</v>
      </c>
      <c r="AA255" s="28">
        <v>35</v>
      </c>
      <c r="AB255" s="28">
        <v>35</v>
      </c>
      <c r="AC255" s="28">
        <v>35</v>
      </c>
      <c r="AD255" s="28">
        <v>35</v>
      </c>
      <c r="AE255" s="28">
        <v>35</v>
      </c>
      <c r="AF255" s="28">
        <v>35</v>
      </c>
      <c r="AG255" s="28">
        <v>35</v>
      </c>
      <c r="AH255" s="28">
        <v>35</v>
      </c>
      <c r="AI255" s="28">
        <v>35</v>
      </c>
      <c r="AJ255" s="28">
        <v>35</v>
      </c>
      <c r="AK255" s="28">
        <v>35</v>
      </c>
      <c r="AL255" s="28">
        <v>35</v>
      </c>
      <c r="AM255" s="28">
        <v>35</v>
      </c>
      <c r="AN255" s="28">
        <v>35</v>
      </c>
      <c r="AO255" s="28">
        <v>35</v>
      </c>
      <c r="AP255" s="28">
        <v>35</v>
      </c>
      <c r="AQ255" s="28">
        <v>35</v>
      </c>
      <c r="AR255" s="28">
        <v>35</v>
      </c>
      <c r="AS255" s="28">
        <v>35</v>
      </c>
      <c r="AT255" s="28">
        <v>35</v>
      </c>
      <c r="AU255" s="28">
        <v>35</v>
      </c>
      <c r="AV255" s="28">
        <v>30</v>
      </c>
      <c r="AW255" s="28">
        <v>30</v>
      </c>
    </row>
    <row r="256" spans="2:49">
      <c r="B256" s="1" t="s">
        <v>739</v>
      </c>
      <c r="C256" s="1" t="s">
        <v>740</v>
      </c>
      <c r="D256" s="1" t="s">
        <v>9</v>
      </c>
      <c r="E256" s="1" t="s">
        <v>741</v>
      </c>
      <c r="F256" s="28">
        <v>45</v>
      </c>
      <c r="G256" s="28">
        <v>45</v>
      </c>
      <c r="H256" s="28">
        <v>45</v>
      </c>
      <c r="I256" s="28">
        <v>45</v>
      </c>
      <c r="J256" s="28">
        <v>45</v>
      </c>
      <c r="K256" s="28">
        <v>45</v>
      </c>
      <c r="L256" s="28">
        <v>45</v>
      </c>
      <c r="M256" s="28">
        <v>45</v>
      </c>
      <c r="N256" s="28">
        <v>45</v>
      </c>
      <c r="O256" s="28">
        <v>50</v>
      </c>
      <c r="P256" s="28">
        <v>50</v>
      </c>
      <c r="Q256" s="28">
        <v>50</v>
      </c>
      <c r="R256" s="28">
        <v>45</v>
      </c>
      <c r="S256" s="28">
        <v>42.5</v>
      </c>
      <c r="T256" s="28">
        <v>42.5</v>
      </c>
      <c r="U256" s="28">
        <v>40</v>
      </c>
      <c r="V256" s="28">
        <v>37.5</v>
      </c>
      <c r="W256" s="28">
        <v>37.5</v>
      </c>
      <c r="X256" s="28">
        <v>37.5</v>
      </c>
      <c r="Y256" s="28">
        <v>35</v>
      </c>
      <c r="Z256" s="28">
        <v>35</v>
      </c>
      <c r="AA256" s="28">
        <v>35</v>
      </c>
      <c r="AB256" s="28">
        <v>30</v>
      </c>
      <c r="AC256" s="28">
        <v>30.9</v>
      </c>
      <c r="AD256" s="28">
        <v>30.9</v>
      </c>
      <c r="AE256" s="28">
        <v>30.9</v>
      </c>
      <c r="AF256" s="28">
        <v>30.9</v>
      </c>
      <c r="AG256" s="28">
        <v>30.9</v>
      </c>
      <c r="AH256" s="28">
        <v>30.9</v>
      </c>
      <c r="AI256" s="28">
        <v>30.9</v>
      </c>
      <c r="AJ256" s="28">
        <v>25.75</v>
      </c>
      <c r="AK256" s="28">
        <v>25.75</v>
      </c>
      <c r="AL256" s="28">
        <v>25.75</v>
      </c>
      <c r="AM256" s="28">
        <v>25.75</v>
      </c>
      <c r="AN256" s="28">
        <v>25.75</v>
      </c>
      <c r="AO256" s="28">
        <v>25.75</v>
      </c>
      <c r="AP256" s="28">
        <v>25.75</v>
      </c>
      <c r="AQ256" s="28">
        <v>25.75</v>
      </c>
      <c r="AR256" s="28">
        <v>25.75</v>
      </c>
      <c r="AS256" s="28">
        <v>25.75</v>
      </c>
      <c r="AT256" s="28">
        <v>24.72</v>
      </c>
      <c r="AU256" s="28">
        <v>24.72</v>
      </c>
      <c r="AV256" s="28">
        <v>24.72</v>
      </c>
      <c r="AW256" s="28">
        <v>24.72</v>
      </c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71AB8-01DB-864E-9A4B-89B7B4A8D606}">
  <sheetPr>
    <tabColor theme="9" tint="0.79998168889431442"/>
  </sheetPr>
  <dimension ref="A2:S162"/>
  <sheetViews>
    <sheetView topLeftCell="A153" workbookViewId="0">
      <selection activeCell="S2" sqref="S2:AW2"/>
    </sheetView>
  </sheetViews>
  <sheetFormatPr baseColWidth="10" defaultRowHeight="16"/>
  <cols>
    <col min="1" max="1" width="2.83203125" customWidth="1"/>
  </cols>
  <sheetData>
    <row r="2" spans="1:19" s="32" customFormat="1">
      <c r="A2" s="30"/>
      <c r="B2" s="31" t="str" cm="1">
        <f t="array" aca="1" ref="B2" ca="1">MID(CELL("filename", A1), FIND("]", CELL("filename", A1)) + 1, 255)</f>
        <v>Country Default Spread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</row>
    <row r="5" spans="1:19" s="2" customFormat="1">
      <c r="B5" s="2" t="s">
        <v>781</v>
      </c>
      <c r="C5" s="2">
        <v>2008</v>
      </c>
      <c r="D5" s="2">
        <v>2009</v>
      </c>
      <c r="E5" s="2">
        <v>2010</v>
      </c>
      <c r="F5" s="2">
        <v>2011</v>
      </c>
      <c r="G5" s="2">
        <v>2012</v>
      </c>
      <c r="H5" s="2">
        <v>2013</v>
      </c>
      <c r="I5" s="2">
        <v>2014</v>
      </c>
      <c r="J5" s="2">
        <v>2015</v>
      </c>
      <c r="K5" s="2">
        <v>2016</v>
      </c>
      <c r="L5" s="2">
        <v>2017</v>
      </c>
      <c r="M5" s="2">
        <v>2018</v>
      </c>
      <c r="N5" s="2">
        <v>2019</v>
      </c>
      <c r="O5" s="2">
        <v>2020</v>
      </c>
      <c r="P5" s="2">
        <v>2021</v>
      </c>
      <c r="Q5" s="2">
        <v>2022</v>
      </c>
      <c r="R5" s="2">
        <v>2023</v>
      </c>
    </row>
    <row r="6" spans="1:19">
      <c r="B6" t="s">
        <v>782</v>
      </c>
      <c r="C6" t="s">
        <v>799</v>
      </c>
      <c r="D6" t="s">
        <v>799</v>
      </c>
      <c r="E6" t="s">
        <v>799</v>
      </c>
      <c r="F6" t="s">
        <v>799</v>
      </c>
      <c r="G6" t="s">
        <v>799</v>
      </c>
      <c r="H6">
        <v>5.0000000000000001E-3</v>
      </c>
      <c r="I6">
        <v>5.0000000000000001E-3</v>
      </c>
      <c r="J6">
        <v>5.5999999999999999E-3</v>
      </c>
      <c r="K6">
        <v>5.7320999999999995E-3</v>
      </c>
      <c r="L6">
        <v>5.0876316718389695E-3</v>
      </c>
      <c r="M6">
        <v>5.5987260310332385E-3</v>
      </c>
      <c r="N6">
        <v>4.1485744405513666E-3</v>
      </c>
      <c r="O6">
        <v>4.3848898169671765E-3</v>
      </c>
      <c r="P6">
        <v>4.2218747505715949E-3</v>
      </c>
      <c r="Q6">
        <v>6.0399082568807346E-3</v>
      </c>
      <c r="R6">
        <v>5.3778762707661788E-3</v>
      </c>
    </row>
    <row r="7" spans="1:19">
      <c r="B7" t="s">
        <v>25</v>
      </c>
      <c r="C7">
        <v>6.5000000000000002E-2</v>
      </c>
      <c r="D7">
        <v>4.4999999999999998E-2</v>
      </c>
      <c r="E7">
        <v>0.04</v>
      </c>
      <c r="F7">
        <v>0.04</v>
      </c>
      <c r="G7">
        <v>0.04</v>
      </c>
      <c r="H7">
        <v>4.4999999999999998E-2</v>
      </c>
      <c r="I7">
        <v>4.4999999999999998E-2</v>
      </c>
      <c r="J7">
        <v>5.0500000000000003E-2</v>
      </c>
      <c r="K7">
        <v>5.2005780000000001E-2</v>
      </c>
      <c r="L7">
        <v>4.6158694622684474E-2</v>
      </c>
      <c r="M7">
        <v>5.0795714354283386E-2</v>
      </c>
      <c r="N7">
        <v>3.7638884469729676E-2</v>
      </c>
      <c r="O7">
        <v>3.9782909430302202E-2</v>
      </c>
      <c r="P7">
        <v>3.8303918191549574E-2</v>
      </c>
      <c r="Q7">
        <v>5.5078211009174309E-2</v>
      </c>
      <c r="R7">
        <v>4.9041109802463012E-2</v>
      </c>
    </row>
    <row r="8" spans="1:19">
      <c r="B8" t="s">
        <v>28</v>
      </c>
      <c r="C8" t="s">
        <v>799</v>
      </c>
      <c r="D8" t="s">
        <v>799</v>
      </c>
      <c r="E8" t="s">
        <v>799</v>
      </c>
      <c r="F8" t="s">
        <v>799</v>
      </c>
      <c r="G8" t="s">
        <v>799</v>
      </c>
      <c r="H8" t="s">
        <v>799</v>
      </c>
      <c r="I8">
        <v>1.6E-2</v>
      </c>
      <c r="J8">
        <v>2.47E-2</v>
      </c>
      <c r="K8">
        <v>2.542968E-2</v>
      </c>
      <c r="L8">
        <v>1.9518005141054957E-2</v>
      </c>
      <c r="M8">
        <v>2.147874895541842E-2</v>
      </c>
      <c r="N8">
        <v>1.5915440126478879E-2</v>
      </c>
      <c r="O8">
        <v>6.6251698870904069E-2</v>
      </c>
      <c r="P8">
        <v>1.6196646770374669E-2</v>
      </c>
      <c r="Q8">
        <v>2.3296788990825688E-2</v>
      </c>
      <c r="R8">
        <v>2.0743237044383835E-2</v>
      </c>
    </row>
    <row r="9" spans="1:19">
      <c r="B9" t="s">
        <v>15</v>
      </c>
      <c r="C9" t="s">
        <v>799</v>
      </c>
      <c r="D9" t="s">
        <v>799</v>
      </c>
      <c r="E9">
        <v>0.04</v>
      </c>
      <c r="F9">
        <v>3.2500000000000001E-2</v>
      </c>
      <c r="G9">
        <v>3.2500000000000001E-2</v>
      </c>
      <c r="H9">
        <v>3.5999999999999997E-2</v>
      </c>
      <c r="I9">
        <v>0.03</v>
      </c>
      <c r="J9">
        <v>5.0500000000000003E-2</v>
      </c>
      <c r="K9">
        <v>5.2005780000000001E-2</v>
      </c>
      <c r="L9">
        <v>5.6426460360395843E-2</v>
      </c>
      <c r="M9">
        <v>7.3394208515908457E-2</v>
      </c>
      <c r="N9">
        <v>5.4384039484318816E-2</v>
      </c>
      <c r="O9">
        <v>6.6251698870904069E-2</v>
      </c>
      <c r="P9">
        <v>5.5344939912038545E-2</v>
      </c>
      <c r="Q9">
        <v>7.9525458715596339E-2</v>
      </c>
      <c r="R9">
        <v>7.0808704231754685E-2</v>
      </c>
    </row>
    <row r="10" spans="1:19">
      <c r="B10" t="s">
        <v>38</v>
      </c>
      <c r="C10">
        <v>0.09</v>
      </c>
      <c r="D10">
        <v>6.5000000000000002E-2</v>
      </c>
      <c r="E10">
        <v>6.0000000000000005E-2</v>
      </c>
      <c r="F10">
        <v>0.06</v>
      </c>
      <c r="G10">
        <v>0.06</v>
      </c>
      <c r="H10">
        <v>6.5000000000000002E-2</v>
      </c>
      <c r="I10">
        <v>7.4999999999999997E-2</v>
      </c>
      <c r="J10">
        <v>7.2900000000000006E-2</v>
      </c>
      <c r="K10">
        <v>7.5142619999999993E-2</v>
      </c>
      <c r="L10">
        <v>5.6426460360395843E-2</v>
      </c>
      <c r="M10">
        <v>6.2094961435095908E-2</v>
      </c>
      <c r="N10">
        <v>7.5277768939459352E-2</v>
      </c>
      <c r="O10">
        <v>0.10603460830120626</v>
      </c>
      <c r="P10">
        <v>0.10209260760473131</v>
      </c>
      <c r="Q10">
        <v>0.14682729357798166</v>
      </c>
      <c r="R10">
        <v>0.13073361124886354</v>
      </c>
    </row>
    <row r="11" spans="1:19">
      <c r="B11" t="s">
        <v>41</v>
      </c>
      <c r="C11">
        <v>0.04</v>
      </c>
      <c r="D11">
        <v>0.03</v>
      </c>
      <c r="E11">
        <v>2.75E-2</v>
      </c>
      <c r="F11">
        <v>2.75E-2</v>
      </c>
      <c r="G11">
        <v>2.75E-2</v>
      </c>
      <c r="H11">
        <v>0.03</v>
      </c>
      <c r="I11">
        <v>0.03</v>
      </c>
      <c r="J11">
        <v>5.0500000000000003E-2</v>
      </c>
      <c r="K11">
        <v>5.2005780000000001E-2</v>
      </c>
      <c r="L11">
        <v>4.6158694622684474E-2</v>
      </c>
      <c r="M11">
        <v>5.0795714354283386E-2</v>
      </c>
      <c r="N11">
        <v>3.0096021850545371E-2</v>
      </c>
      <c r="O11">
        <v>3.1810382490361881E-2</v>
      </c>
      <c r="P11">
        <v>3.0627782281419401E-2</v>
      </c>
      <c r="Q11">
        <v>4.4005045871559637E-2</v>
      </c>
      <c r="R11">
        <v>3.9181669972725021E-2</v>
      </c>
    </row>
    <row r="12" spans="1:19">
      <c r="B12" t="s">
        <v>7</v>
      </c>
      <c r="C12" t="s">
        <v>799</v>
      </c>
      <c r="D12" t="s">
        <v>799</v>
      </c>
      <c r="E12" t="s">
        <v>799</v>
      </c>
      <c r="F12" t="s">
        <v>799</v>
      </c>
      <c r="G12" t="s">
        <v>799</v>
      </c>
      <c r="H12">
        <v>1.6E-2</v>
      </c>
      <c r="I12">
        <v>1.6E-2</v>
      </c>
      <c r="J12">
        <v>1.7899999999999999E-2</v>
      </c>
      <c r="K12">
        <v>1.8446940000000002E-2</v>
      </c>
      <c r="L12">
        <v>1.637292374391814E-2</v>
      </c>
      <c r="M12">
        <v>1.8017718318052423E-2</v>
      </c>
      <c r="N12">
        <v>1.3350866835956217E-2</v>
      </c>
      <c r="O12">
        <v>1.4111372683694367E-2</v>
      </c>
      <c r="P12">
        <v>1.6196646770374669E-2</v>
      </c>
      <c r="Q12">
        <v>2.3296788990825688E-2</v>
      </c>
      <c r="R12">
        <v>2.0743237044383835E-2</v>
      </c>
    </row>
    <row r="13" spans="1:19">
      <c r="B13" t="s">
        <v>56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9">
      <c r="B14" t="s">
        <v>59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4.4999999999999997E-3</v>
      </c>
      <c r="K14">
        <v>4.58568E-3</v>
      </c>
      <c r="L14">
        <v>4.0701053374711752E-3</v>
      </c>
      <c r="M14">
        <v>4.4789808248265903E-3</v>
      </c>
      <c r="N14">
        <v>3.3188595524410928E-3</v>
      </c>
      <c r="O14">
        <v>3.5079118535737406E-3</v>
      </c>
      <c r="P14">
        <v>3.3774998004572764E-3</v>
      </c>
      <c r="Q14">
        <v>4.8894495412844033E-3</v>
      </c>
      <c r="R14">
        <v>4.3535188858583353E-3</v>
      </c>
    </row>
    <row r="15" spans="1:19">
      <c r="B15" t="s">
        <v>62</v>
      </c>
      <c r="C15">
        <v>0.03</v>
      </c>
      <c r="D15">
        <v>2.5000000000000001E-2</v>
      </c>
      <c r="E15">
        <v>2.4E-2</v>
      </c>
      <c r="F15">
        <v>2.4E-2</v>
      </c>
      <c r="G15">
        <v>0.02</v>
      </c>
      <c r="H15">
        <v>2.1999999999999999E-2</v>
      </c>
      <c r="I15">
        <v>2.1999999999999999E-2</v>
      </c>
      <c r="J15">
        <v>2.8000000000000001E-2</v>
      </c>
      <c r="K15">
        <v>2.8868939999999999E-2</v>
      </c>
      <c r="L15">
        <v>3.0803297213134125E-2</v>
      </c>
      <c r="M15">
        <v>3.3897741242437607E-2</v>
      </c>
      <c r="N15">
        <v>2.5117732521883724E-2</v>
      </c>
      <c r="O15">
        <v>2.6548514710001261E-2</v>
      </c>
      <c r="P15">
        <v>2.5561532580733477E-2</v>
      </c>
      <c r="Q15">
        <v>3.0630963302752296E-2</v>
      </c>
      <c r="R15">
        <v>2.7273515373171343E-2</v>
      </c>
    </row>
    <row r="16" spans="1:19">
      <c r="B16" t="s">
        <v>89</v>
      </c>
      <c r="C16">
        <v>1.4E-2</v>
      </c>
      <c r="D16">
        <v>1.2E-2</v>
      </c>
      <c r="E16">
        <v>1.15E-2</v>
      </c>
      <c r="F16">
        <v>1.15E-2</v>
      </c>
      <c r="G16">
        <v>1.4999999999999999E-2</v>
      </c>
      <c r="H16">
        <v>1.6E-2</v>
      </c>
      <c r="I16">
        <v>1.9E-2</v>
      </c>
      <c r="J16">
        <v>2.1299999999999999E-2</v>
      </c>
      <c r="K16">
        <v>2.542968E-2</v>
      </c>
      <c r="L16">
        <v>2.2570584144158336E-2</v>
      </c>
      <c r="M16">
        <v>2.4837984574038366E-2</v>
      </c>
      <c r="N16">
        <v>1.8404584790809697E-2</v>
      </c>
      <c r="O16">
        <v>2.6548514710001261E-2</v>
      </c>
      <c r="P16">
        <v>3.0627782281419401E-2</v>
      </c>
      <c r="Q16">
        <v>5.5078211009174309E-2</v>
      </c>
      <c r="R16">
        <v>4.9041109802463012E-2</v>
      </c>
    </row>
    <row r="17" spans="2:18">
      <c r="B17" t="s">
        <v>86</v>
      </c>
      <c r="C17">
        <v>1.6E-2</v>
      </c>
      <c r="D17">
        <v>1.0500000000000001E-2</v>
      </c>
      <c r="E17">
        <v>1.15E-2</v>
      </c>
      <c r="F17">
        <v>1.4999999999999999E-2</v>
      </c>
      <c r="G17">
        <v>1.4999999999999999E-2</v>
      </c>
      <c r="H17">
        <v>1.9E-2</v>
      </c>
      <c r="I17">
        <v>1.9E-2</v>
      </c>
      <c r="J17">
        <v>3.3700000000000001E-2</v>
      </c>
      <c r="K17">
        <v>3.4705260000000002E-2</v>
      </c>
      <c r="L17">
        <v>4.6158694622684474E-2</v>
      </c>
      <c r="M17">
        <v>6.2094961435095908E-2</v>
      </c>
      <c r="N17">
        <v>4.6011461977024243E-2</v>
      </c>
      <c r="O17">
        <v>4.8632414333635951E-2</v>
      </c>
      <c r="P17">
        <v>4.6824429051794063E-2</v>
      </c>
      <c r="Q17">
        <v>6.7301834862385335E-2</v>
      </c>
      <c r="R17">
        <v>5.9924907017108855E-2</v>
      </c>
    </row>
    <row r="18" spans="2:18">
      <c r="B18" t="s">
        <v>80</v>
      </c>
      <c r="C18" t="s">
        <v>799</v>
      </c>
      <c r="D18" t="s">
        <v>799</v>
      </c>
      <c r="E18">
        <v>3.2500000000000001E-2</v>
      </c>
      <c r="F18">
        <v>3.2500000000000001E-2</v>
      </c>
      <c r="G18">
        <v>3.2500000000000001E-2</v>
      </c>
      <c r="H18">
        <v>3.5999999999999997E-2</v>
      </c>
      <c r="I18">
        <v>3.5999999999999997E-2</v>
      </c>
      <c r="J18">
        <v>4.0399999999999998E-2</v>
      </c>
      <c r="K18">
        <v>4.1583780000000001E-2</v>
      </c>
      <c r="L18">
        <v>3.6908455219340892E-2</v>
      </c>
      <c r="M18">
        <v>4.0616212479677498E-2</v>
      </c>
      <c r="N18">
        <v>3.0096021850545371E-2</v>
      </c>
      <c r="O18">
        <v>3.1810382490361881E-2</v>
      </c>
      <c r="P18">
        <v>3.0627782281419401E-2</v>
      </c>
      <c r="Q18">
        <v>4.4005045871559637E-2</v>
      </c>
      <c r="R18">
        <v>4.9041109802463012E-2</v>
      </c>
    </row>
    <row r="19" spans="2:18">
      <c r="B19" t="s">
        <v>112</v>
      </c>
      <c r="C19">
        <v>1.7500000000000002E-2</v>
      </c>
      <c r="D19">
        <v>1.7999999999999999E-2</v>
      </c>
      <c r="E19">
        <v>1.7500000000000002E-2</v>
      </c>
      <c r="F19">
        <v>0.02</v>
      </c>
      <c r="G19">
        <v>0.02</v>
      </c>
      <c r="H19">
        <v>2.5000000000000001E-2</v>
      </c>
      <c r="I19">
        <v>6.5000000000000002E-2</v>
      </c>
      <c r="J19">
        <v>8.4099999999999994E-2</v>
      </c>
      <c r="K19">
        <v>8.6606820000000001E-2</v>
      </c>
      <c r="L19">
        <v>0.10249265258904688</v>
      </c>
      <c r="M19">
        <v>0.11278888077063325</v>
      </c>
      <c r="N19">
        <v>6.2681188365421567E-2</v>
      </c>
      <c r="O19">
        <v>6.6251698870904069E-2</v>
      </c>
      <c r="P19">
        <v>6.3788689413181762E-2</v>
      </c>
      <c r="Q19">
        <v>9.1749082568807344E-2</v>
      </c>
      <c r="R19">
        <v>7.0808704231754685E-2</v>
      </c>
    </row>
    <row r="20" spans="2:18">
      <c r="B20" t="s">
        <v>98</v>
      </c>
      <c r="C20">
        <v>6.5000000000000002E-2</v>
      </c>
      <c r="D20">
        <v>4.4999999999999998E-2</v>
      </c>
      <c r="E20">
        <v>0.04</v>
      </c>
      <c r="F20">
        <v>0.06</v>
      </c>
      <c r="G20">
        <v>0.06</v>
      </c>
      <c r="H20">
        <v>6.5000000000000002E-2</v>
      </c>
      <c r="I20">
        <v>6.5000000000000002E-2</v>
      </c>
      <c r="J20">
        <v>8.4099999999999994E-2</v>
      </c>
      <c r="K20">
        <v>8.6606820000000001E-2</v>
      </c>
      <c r="L20">
        <v>7.6869489441785163E-2</v>
      </c>
      <c r="M20">
        <v>7.3394208515908457E-2</v>
      </c>
      <c r="N20">
        <v>5.4384039484318816E-2</v>
      </c>
      <c r="O20">
        <v>5.74819192369697E-2</v>
      </c>
      <c r="P20">
        <v>5.5344939912038545E-2</v>
      </c>
      <c r="Q20">
        <v>0.14682729357798166</v>
      </c>
      <c r="R20">
        <v>0.17499999999999999</v>
      </c>
    </row>
    <row r="21" spans="2:18">
      <c r="B21" t="s">
        <v>68</v>
      </c>
      <c r="C21">
        <v>7.0000000000000001E-3</v>
      </c>
      <c r="D21">
        <v>3.0000000000000001E-3</v>
      </c>
      <c r="E21">
        <v>2.5000000000000001E-3</v>
      </c>
      <c r="F21">
        <v>7.0000000000000001E-3</v>
      </c>
      <c r="G21">
        <v>7.0000000000000001E-3</v>
      </c>
      <c r="H21">
        <v>6.0000000000000001E-3</v>
      </c>
      <c r="I21">
        <v>6.0000000000000001E-3</v>
      </c>
      <c r="J21">
        <v>6.7999999999999996E-3</v>
      </c>
      <c r="K21">
        <v>6.9827399999999994E-3</v>
      </c>
      <c r="L21">
        <v>6.1976604002401993E-3</v>
      </c>
      <c r="M21">
        <v>6.8202662559859444E-3</v>
      </c>
      <c r="N21">
        <v>5.0537179548534828E-3</v>
      </c>
      <c r="O21">
        <v>5.3415930497600151E-3</v>
      </c>
      <c r="P21">
        <v>5.1430110597872171E-3</v>
      </c>
      <c r="Q21">
        <v>7.3341743119266058E-3</v>
      </c>
      <c r="R21">
        <v>6.5302783287875029E-3</v>
      </c>
    </row>
    <row r="22" spans="2:18">
      <c r="B22" t="s">
        <v>101</v>
      </c>
      <c r="C22">
        <v>0.12</v>
      </c>
      <c r="D22">
        <v>6.5000000000000002E-2</v>
      </c>
      <c r="E22">
        <v>6.0000000000000005E-2</v>
      </c>
      <c r="F22">
        <v>0.06</v>
      </c>
      <c r="G22">
        <v>0.1</v>
      </c>
      <c r="H22">
        <v>0.09</v>
      </c>
      <c r="I22">
        <v>0.09</v>
      </c>
      <c r="J22">
        <v>0.10100000000000001</v>
      </c>
      <c r="K22">
        <v>0.10401156</v>
      </c>
      <c r="L22">
        <v>6.6694226098107226E-2</v>
      </c>
      <c r="M22">
        <v>7.3394208515908457E-2</v>
      </c>
      <c r="N22">
        <v>5.4384039484318816E-2</v>
      </c>
      <c r="O22">
        <v>8.8335598494538758E-2</v>
      </c>
      <c r="P22">
        <v>8.5051585884242345E-2</v>
      </c>
      <c r="Q22">
        <v>0.11015642201834862</v>
      </c>
      <c r="R22">
        <v>9.8082219604926024E-2</v>
      </c>
    </row>
    <row r="23" spans="2:18">
      <c r="B23" t="s">
        <v>71</v>
      </c>
      <c r="C23" t="s">
        <v>799</v>
      </c>
      <c r="D23" t="s">
        <v>799</v>
      </c>
      <c r="E23" t="s">
        <v>799</v>
      </c>
      <c r="F23" t="s">
        <v>799</v>
      </c>
      <c r="G23" t="s">
        <v>799</v>
      </c>
      <c r="H23">
        <v>5.5E-2</v>
      </c>
      <c r="I23" t="s">
        <v>799</v>
      </c>
      <c r="J23" t="s">
        <v>799</v>
      </c>
      <c r="K23" t="s">
        <v>799</v>
      </c>
      <c r="L23" t="s">
        <v>799</v>
      </c>
      <c r="M23">
        <v>5.0795714354283386E-2</v>
      </c>
      <c r="N23">
        <v>4.6011461977024243E-2</v>
      </c>
      <c r="O23">
        <v>4.8632414333635951E-2</v>
      </c>
      <c r="P23">
        <v>3.8303918191549574E-2</v>
      </c>
      <c r="Q23">
        <v>5.5078211009174309E-2</v>
      </c>
      <c r="R23">
        <v>4.9041109802463012E-2</v>
      </c>
    </row>
    <row r="24" spans="2:18">
      <c r="B24" t="s">
        <v>104</v>
      </c>
      <c r="C24">
        <v>0</v>
      </c>
      <c r="D24">
        <v>6.0000000000000001E-3</v>
      </c>
      <c r="E24">
        <v>5.0000000000000001E-3</v>
      </c>
      <c r="F24">
        <v>5.0000000000000001E-3</v>
      </c>
      <c r="G24">
        <v>5.0000000000000001E-3</v>
      </c>
      <c r="H24">
        <v>6.0000000000000001E-3</v>
      </c>
      <c r="I24">
        <v>7.0000000000000001E-3</v>
      </c>
      <c r="J24">
        <v>9.4999999999999998E-3</v>
      </c>
      <c r="K24">
        <v>9.7966800000000003E-3</v>
      </c>
      <c r="L24">
        <v>8.6952250391429675E-3</v>
      </c>
      <c r="M24">
        <v>9.5687317621295353E-3</v>
      </c>
      <c r="N24">
        <v>7.0902908620332442E-3</v>
      </c>
      <c r="O24">
        <v>7.4941753235439005E-3</v>
      </c>
      <c r="P24">
        <v>7.2155677555223634E-3</v>
      </c>
      <c r="Q24">
        <v>1.0354128440366973E-2</v>
      </c>
      <c r="R24">
        <v>9.2192164641705932E-3</v>
      </c>
    </row>
    <row r="25" spans="2:18">
      <c r="B25" t="s">
        <v>766</v>
      </c>
      <c r="C25">
        <v>0.09</v>
      </c>
      <c r="D25">
        <v>5.5E-2</v>
      </c>
      <c r="E25">
        <v>0.04</v>
      </c>
      <c r="F25">
        <v>0.04</v>
      </c>
      <c r="G25">
        <v>3.2500000000000001E-2</v>
      </c>
      <c r="H25">
        <v>3.5999999999999997E-2</v>
      </c>
      <c r="I25">
        <v>3.5999999999999997E-2</v>
      </c>
      <c r="J25">
        <v>4.0399999999999998E-2</v>
      </c>
      <c r="K25">
        <v>4.1583780000000001E-2</v>
      </c>
      <c r="L25">
        <v>3.6908455219340892E-2</v>
      </c>
      <c r="M25">
        <v>4.0616212479677498E-2</v>
      </c>
      <c r="N25">
        <v>3.0096021850545371E-2</v>
      </c>
      <c r="O25">
        <v>4.8632414333635951E-2</v>
      </c>
      <c r="P25">
        <v>4.6824429051794063E-2</v>
      </c>
      <c r="Q25">
        <v>6.7301834862385335E-2</v>
      </c>
      <c r="R25">
        <v>8.1692501446400528E-2</v>
      </c>
    </row>
    <row r="26" spans="2:18">
      <c r="B26" t="s">
        <v>92</v>
      </c>
      <c r="C26">
        <v>7.4999999999999997E-2</v>
      </c>
      <c r="D26">
        <v>5.5E-2</v>
      </c>
      <c r="E26">
        <v>0.05</v>
      </c>
      <c r="F26">
        <v>0.05</v>
      </c>
      <c r="G26">
        <v>0.06</v>
      </c>
      <c r="H26">
        <v>6.5000000000000002E-2</v>
      </c>
      <c r="I26">
        <v>6.5000000000000002E-2</v>
      </c>
      <c r="J26">
        <v>7.2900000000000006E-2</v>
      </c>
      <c r="K26">
        <v>7.5142619999999993E-2</v>
      </c>
      <c r="L26">
        <v>6.6694226098107226E-2</v>
      </c>
      <c r="M26">
        <v>7.3394208515908457E-2</v>
      </c>
      <c r="N26">
        <v>5.4384039484318816E-2</v>
      </c>
      <c r="O26">
        <v>5.74819192369697E-2</v>
      </c>
      <c r="P26">
        <v>5.5344939912038545E-2</v>
      </c>
      <c r="Q26">
        <v>7.9525458715596339E-2</v>
      </c>
      <c r="R26">
        <v>7.0808704231754685E-2</v>
      </c>
    </row>
    <row r="27" spans="2:18">
      <c r="B27" t="s">
        <v>124</v>
      </c>
      <c r="C27">
        <v>1.4E-2</v>
      </c>
      <c r="D27">
        <v>1.0500000000000001E-2</v>
      </c>
      <c r="E27">
        <v>0.01</v>
      </c>
      <c r="F27">
        <v>0.01</v>
      </c>
      <c r="G27">
        <v>0.01</v>
      </c>
      <c r="H27">
        <v>8.5000000000000006E-3</v>
      </c>
      <c r="I27">
        <v>8.5000000000000006E-3</v>
      </c>
      <c r="J27">
        <v>9.4999999999999998E-3</v>
      </c>
      <c r="K27">
        <v>9.7966800000000003E-3</v>
      </c>
      <c r="L27">
        <v>8.6952250391429675E-3</v>
      </c>
      <c r="M27">
        <v>9.5687317621295353E-3</v>
      </c>
      <c r="N27">
        <v>7.0902908620332442E-3</v>
      </c>
      <c r="O27">
        <v>7.4941753235439005E-3</v>
      </c>
      <c r="P27">
        <v>1.0209260760473134E-2</v>
      </c>
      <c r="Q27">
        <v>1.4668348623853212E-2</v>
      </c>
      <c r="R27">
        <v>1.3060556657575006E-2</v>
      </c>
    </row>
    <row r="28" spans="2:18">
      <c r="B28" t="s">
        <v>109</v>
      </c>
      <c r="C28">
        <v>0.03</v>
      </c>
      <c r="D28">
        <v>0.02</v>
      </c>
      <c r="E28">
        <v>0.02</v>
      </c>
      <c r="F28">
        <v>1.7500000000000002E-2</v>
      </c>
      <c r="G28">
        <v>1.7500000000000002E-2</v>
      </c>
      <c r="H28">
        <v>1.9E-2</v>
      </c>
      <c r="I28">
        <v>1.9E-2</v>
      </c>
      <c r="J28">
        <v>3.3700000000000001E-2</v>
      </c>
      <c r="K28">
        <v>3.4705260000000002E-2</v>
      </c>
      <c r="L28">
        <v>3.0803297213134125E-2</v>
      </c>
      <c r="M28">
        <v>3.3897741242437607E-2</v>
      </c>
      <c r="N28">
        <v>2.5117732521883724E-2</v>
      </c>
      <c r="O28">
        <v>2.6548514710001261E-2</v>
      </c>
      <c r="P28">
        <v>2.5561532580733477E-2</v>
      </c>
      <c r="Q28">
        <v>3.6814678899082569E-2</v>
      </c>
      <c r="R28">
        <v>3.2779436317050999E-2</v>
      </c>
    </row>
    <row r="29" spans="2:18">
      <c r="B29" t="s">
        <v>83</v>
      </c>
      <c r="C29">
        <v>2.5999999999999999E-2</v>
      </c>
      <c r="D29">
        <v>0.02</v>
      </c>
      <c r="E29">
        <v>0.02</v>
      </c>
      <c r="F29">
        <v>1.7500000000000002E-2</v>
      </c>
      <c r="G29">
        <v>1.7500000000000002E-2</v>
      </c>
      <c r="H29">
        <v>1.9E-2</v>
      </c>
      <c r="I29">
        <v>1.9E-2</v>
      </c>
      <c r="J29">
        <v>2.1299999999999999E-2</v>
      </c>
      <c r="K29">
        <v>2.199042E-2</v>
      </c>
      <c r="L29">
        <v>1.9518005141054957E-2</v>
      </c>
      <c r="M29">
        <v>2.147874895541842E-2</v>
      </c>
      <c r="N29">
        <v>1.5915440126478879E-2</v>
      </c>
      <c r="O29">
        <v>1.4111372683694367E-2</v>
      </c>
      <c r="P29">
        <v>1.358676056093041E-2</v>
      </c>
      <c r="Q29">
        <v>1.9557798165137613E-2</v>
      </c>
      <c r="R29">
        <v>1.7414075543433341E-2</v>
      </c>
    </row>
    <row r="30" spans="2:18">
      <c r="B30" t="s">
        <v>77</v>
      </c>
      <c r="C30" t="s">
        <v>799</v>
      </c>
      <c r="D30" t="s">
        <v>799</v>
      </c>
      <c r="E30" t="s">
        <v>799</v>
      </c>
      <c r="F30" t="s">
        <v>799</v>
      </c>
      <c r="G30" t="s">
        <v>799</v>
      </c>
      <c r="H30">
        <v>5.5E-2</v>
      </c>
      <c r="I30">
        <v>6.5000000000000002E-2</v>
      </c>
      <c r="J30">
        <v>7.2900000000000006E-2</v>
      </c>
      <c r="K30">
        <v>7.5142619999999993E-2</v>
      </c>
      <c r="L30">
        <v>5.6426460360395843E-2</v>
      </c>
      <c r="M30">
        <v>6.2094961435095908E-2</v>
      </c>
      <c r="N30">
        <v>4.6011461977024243E-2</v>
      </c>
      <c r="O30">
        <v>4.8632414333635951E-2</v>
      </c>
      <c r="P30">
        <v>4.6824429051794063E-2</v>
      </c>
      <c r="Q30">
        <v>9.1749082568807344E-2</v>
      </c>
      <c r="R30">
        <v>8.1692501446400528E-2</v>
      </c>
    </row>
    <row r="31" spans="2:18">
      <c r="B31" t="s">
        <v>363</v>
      </c>
      <c r="C31">
        <v>7.4999999999999997E-2</v>
      </c>
      <c r="D31">
        <v>5.5E-2</v>
      </c>
      <c r="E31">
        <v>0.05</v>
      </c>
      <c r="F31">
        <v>0.05</v>
      </c>
      <c r="G31">
        <v>0.05</v>
      </c>
      <c r="H31">
        <v>5.5E-2</v>
      </c>
      <c r="I31">
        <v>5.5E-2</v>
      </c>
      <c r="J31">
        <v>6.1699999999999998E-2</v>
      </c>
      <c r="K31">
        <v>6.3574199999999997E-2</v>
      </c>
      <c r="L31">
        <v>5.6426460360395843E-2</v>
      </c>
      <c r="M31">
        <v>6.2094961435095908E-2</v>
      </c>
      <c r="N31">
        <v>4.6011461977024243E-2</v>
      </c>
      <c r="O31">
        <v>4.8632414333635951E-2</v>
      </c>
      <c r="P31">
        <v>4.6824429051794063E-2</v>
      </c>
      <c r="Q31">
        <v>6.7301834862385335E-2</v>
      </c>
      <c r="R31">
        <v>5.9924907017108855E-2</v>
      </c>
    </row>
    <row r="32" spans="2:18">
      <c r="B32" t="s">
        <v>147</v>
      </c>
      <c r="C32" t="s">
        <v>799</v>
      </c>
      <c r="D32" t="s">
        <v>799</v>
      </c>
      <c r="E32" t="s">
        <v>799</v>
      </c>
      <c r="F32" t="s">
        <v>799</v>
      </c>
      <c r="G32" t="s">
        <v>799</v>
      </c>
      <c r="H32">
        <v>5.5E-2</v>
      </c>
      <c r="I32">
        <v>5.5E-2</v>
      </c>
      <c r="J32">
        <v>6.1699999999999998E-2</v>
      </c>
      <c r="K32">
        <v>6.3574199999999997E-2</v>
      </c>
      <c r="L32">
        <v>5.6426460360395843E-2</v>
      </c>
      <c r="M32">
        <v>6.2094961435095908E-2</v>
      </c>
      <c r="N32">
        <v>4.6011461977024243E-2</v>
      </c>
      <c r="O32">
        <v>4.8632414333635951E-2</v>
      </c>
      <c r="P32">
        <v>4.6824429051794063E-2</v>
      </c>
      <c r="Q32">
        <v>6.7301834862385335E-2</v>
      </c>
      <c r="R32">
        <v>8.1692501446400528E-2</v>
      </c>
    </row>
    <row r="33" spans="2:18">
      <c r="B33" t="s">
        <v>130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2:18">
      <c r="B34" t="s">
        <v>784</v>
      </c>
      <c r="C34" t="s">
        <v>799</v>
      </c>
      <c r="D34" t="s">
        <v>799</v>
      </c>
      <c r="E34" t="s">
        <v>799</v>
      </c>
      <c r="F34" t="s">
        <v>799</v>
      </c>
      <c r="G34" t="s">
        <v>799</v>
      </c>
      <c r="H34">
        <v>5.5E-2</v>
      </c>
      <c r="I34">
        <v>5.5E-2</v>
      </c>
      <c r="J34">
        <v>6.1699999999999998E-2</v>
      </c>
      <c r="K34">
        <v>6.3574199999999997E-2</v>
      </c>
      <c r="L34">
        <v>5.6426460360395843E-2</v>
      </c>
      <c r="M34">
        <v>6.2094961435095908E-2</v>
      </c>
      <c r="N34">
        <v>4.6011461977024243E-2</v>
      </c>
      <c r="O34">
        <v>4.8632414333635951E-2</v>
      </c>
      <c r="P34">
        <v>5.5344939912038545E-2</v>
      </c>
      <c r="Q34">
        <v>7.9525458715596339E-2</v>
      </c>
      <c r="R34">
        <v>7.0808704231754685E-2</v>
      </c>
    </row>
    <row r="35" spans="2:18">
      <c r="B35" t="s">
        <v>177</v>
      </c>
      <c r="C35">
        <v>1.2E-2</v>
      </c>
      <c r="D35">
        <v>7.4999999999999997E-3</v>
      </c>
      <c r="E35">
        <v>7.0000000000000001E-3</v>
      </c>
      <c r="F35">
        <v>7.0000000000000001E-3</v>
      </c>
      <c r="G35">
        <v>7.0000000000000001E-3</v>
      </c>
      <c r="H35">
        <v>6.0000000000000001E-3</v>
      </c>
      <c r="I35">
        <v>6.0000000000000001E-3</v>
      </c>
      <c r="J35">
        <v>6.7999999999999996E-3</v>
      </c>
      <c r="K35">
        <v>6.9827399999999994E-3</v>
      </c>
      <c r="L35">
        <v>6.1976604002401993E-3</v>
      </c>
      <c r="M35">
        <v>6.8202662559859444E-3</v>
      </c>
      <c r="N35">
        <v>5.0537179548534828E-3</v>
      </c>
      <c r="O35">
        <v>5.3415930497600151E-3</v>
      </c>
      <c r="P35">
        <v>5.1430110597872171E-3</v>
      </c>
      <c r="Q35">
        <v>7.3341743119266058E-3</v>
      </c>
      <c r="R35">
        <v>6.5302783287875029E-3</v>
      </c>
    </row>
    <row r="36" spans="2:18">
      <c r="B36" t="s">
        <v>139</v>
      </c>
      <c r="C36">
        <v>1.4E-2</v>
      </c>
      <c r="D36">
        <v>8.9999999999999993E-3</v>
      </c>
      <c r="E36">
        <v>7.0000000000000001E-3</v>
      </c>
      <c r="F36">
        <v>7.0000000000000001E-3</v>
      </c>
      <c r="G36">
        <v>7.0000000000000001E-3</v>
      </c>
      <c r="H36">
        <v>6.0000000000000001E-3</v>
      </c>
      <c r="I36">
        <v>6.0000000000000001E-3</v>
      </c>
      <c r="J36">
        <v>6.7999999999999996E-3</v>
      </c>
      <c r="K36">
        <v>6.9827399999999994E-3</v>
      </c>
      <c r="L36">
        <v>6.1976604002401993E-3</v>
      </c>
      <c r="M36">
        <v>7.9400114621925918E-3</v>
      </c>
      <c r="N36">
        <v>5.8834328429637562E-3</v>
      </c>
      <c r="O36">
        <v>6.2185710131534505E-3</v>
      </c>
      <c r="P36">
        <v>5.987386009901537E-3</v>
      </c>
      <c r="Q36">
        <v>1.0354128440366973E-2</v>
      </c>
      <c r="R36">
        <v>9.2192164641705932E-3</v>
      </c>
    </row>
    <row r="37" spans="2:18">
      <c r="B37" t="s">
        <v>142</v>
      </c>
      <c r="C37">
        <v>1.4E-2</v>
      </c>
      <c r="D37">
        <v>8.9999999999999993E-3</v>
      </c>
      <c r="E37">
        <v>7.0000000000000001E-3</v>
      </c>
      <c r="F37">
        <v>7.0000000000000001E-3</v>
      </c>
      <c r="G37">
        <v>7.0000000000000001E-3</v>
      </c>
      <c r="H37">
        <v>6.0000000000000001E-3</v>
      </c>
      <c r="I37">
        <v>6.0000000000000001E-3</v>
      </c>
      <c r="J37">
        <v>6.7999999999999996E-3</v>
      </c>
      <c r="K37">
        <v>6.9827399999999994E-3</v>
      </c>
      <c r="L37">
        <v>7.2151867346079935E-3</v>
      </c>
      <c r="M37">
        <v>7.9400114621925918E-3</v>
      </c>
      <c r="N37">
        <v>5.8834328429637562E-3</v>
      </c>
      <c r="O37">
        <v>6.2185710131534505E-3</v>
      </c>
      <c r="P37">
        <v>5.987386009901537E-3</v>
      </c>
      <c r="Q37">
        <v>8.6284403669724778E-3</v>
      </c>
      <c r="R37">
        <v>7.6826803868088279E-3</v>
      </c>
    </row>
    <row r="38" spans="2:18">
      <c r="B38" t="s">
        <v>157</v>
      </c>
      <c r="C38">
        <v>2.5999999999999999E-2</v>
      </c>
      <c r="D38">
        <v>0.02</v>
      </c>
      <c r="E38">
        <v>0.02</v>
      </c>
      <c r="F38">
        <v>0.02</v>
      </c>
      <c r="G38">
        <v>0.02</v>
      </c>
      <c r="H38">
        <v>2.1999999999999999E-2</v>
      </c>
      <c r="I38">
        <v>1.9E-2</v>
      </c>
      <c r="J38">
        <v>2.1299999999999999E-2</v>
      </c>
      <c r="K38">
        <v>2.199042E-2</v>
      </c>
      <c r="L38">
        <v>1.9518005141054957E-2</v>
      </c>
      <c r="M38">
        <v>2.147874895541842E-2</v>
      </c>
      <c r="N38">
        <v>1.5915440126478879E-2</v>
      </c>
      <c r="O38">
        <v>1.6822031843274077E-2</v>
      </c>
      <c r="P38">
        <v>1.6196646770374669E-2</v>
      </c>
      <c r="Q38">
        <v>2.3296788990825688E-2</v>
      </c>
      <c r="R38">
        <v>2.0743237044383835E-2</v>
      </c>
    </row>
    <row r="39" spans="2:18">
      <c r="B39" t="s">
        <v>785</v>
      </c>
      <c r="C39" t="s">
        <v>799</v>
      </c>
      <c r="D39" t="s">
        <v>799</v>
      </c>
      <c r="E39" t="s">
        <v>799</v>
      </c>
      <c r="F39" t="s">
        <v>799</v>
      </c>
      <c r="G39" t="s">
        <v>799</v>
      </c>
      <c r="H39" t="s">
        <v>799</v>
      </c>
      <c r="I39">
        <v>6.5000000000000002E-2</v>
      </c>
      <c r="J39">
        <v>7.2900000000000006E-2</v>
      </c>
      <c r="K39">
        <v>7.5142619999999993E-2</v>
      </c>
      <c r="L39">
        <v>6.6694226098107226E-2</v>
      </c>
      <c r="M39">
        <v>7.3394208515908457E-2</v>
      </c>
      <c r="N39">
        <v>6.2681188365421567E-2</v>
      </c>
      <c r="O39">
        <v>6.6251698870904069E-2</v>
      </c>
      <c r="P39">
        <v>6.3788689413181762E-2</v>
      </c>
      <c r="Q39">
        <v>7.9525458715596339E-2</v>
      </c>
      <c r="R39">
        <v>7.0808704231754685E-2</v>
      </c>
    </row>
    <row r="40" spans="2:18">
      <c r="B40" t="s">
        <v>786</v>
      </c>
      <c r="C40" t="s">
        <v>799</v>
      </c>
      <c r="D40" t="s">
        <v>799</v>
      </c>
      <c r="E40" t="s">
        <v>799</v>
      </c>
      <c r="F40" t="s">
        <v>799</v>
      </c>
      <c r="G40" t="s">
        <v>799</v>
      </c>
      <c r="H40" t="s">
        <v>799</v>
      </c>
      <c r="I40">
        <v>3.5999999999999997E-2</v>
      </c>
      <c r="J40">
        <v>6.1699999999999998E-2</v>
      </c>
      <c r="K40">
        <v>7.5142619999999993E-2</v>
      </c>
      <c r="L40">
        <v>9.2317389245368947E-2</v>
      </c>
      <c r="M40">
        <v>0.10159142870856677</v>
      </c>
      <c r="N40">
        <v>7.5277768939459352E-2</v>
      </c>
      <c r="O40">
        <v>7.9565818860604404E-2</v>
      </c>
      <c r="P40">
        <v>7.6607836383099148E-2</v>
      </c>
      <c r="Q40">
        <v>0.11015642201834862</v>
      </c>
      <c r="R40">
        <v>9.8082219604926024E-2</v>
      </c>
    </row>
    <row r="41" spans="2:18">
      <c r="B41" t="s">
        <v>154</v>
      </c>
      <c r="C41" t="s">
        <v>799</v>
      </c>
      <c r="D41" t="s">
        <v>799</v>
      </c>
      <c r="E41" t="s">
        <v>799</v>
      </c>
      <c r="F41" t="s">
        <v>799</v>
      </c>
      <c r="G41" t="s">
        <v>799</v>
      </c>
      <c r="H41">
        <v>4.4999999999999998E-2</v>
      </c>
      <c r="I41">
        <v>4.4999999999999998E-2</v>
      </c>
      <c r="J41">
        <v>5.0500000000000003E-2</v>
      </c>
      <c r="K41">
        <v>8.6606820000000001E-2</v>
      </c>
      <c r="L41">
        <v>4.6158694622684474E-2</v>
      </c>
      <c r="M41">
        <v>5.0795714354283386E-2</v>
      </c>
      <c r="N41">
        <v>3.7638884469729676E-2</v>
      </c>
      <c r="O41">
        <v>3.9782909430302202E-2</v>
      </c>
      <c r="P41">
        <v>3.8303918191549574E-2</v>
      </c>
      <c r="Q41">
        <v>5.5078211009174309E-2</v>
      </c>
      <c r="R41">
        <v>4.9041109802463012E-2</v>
      </c>
    </row>
    <row r="42" spans="2:18">
      <c r="B42" t="s">
        <v>165</v>
      </c>
      <c r="C42">
        <v>0.03</v>
      </c>
      <c r="D42">
        <v>2.5000000000000001E-2</v>
      </c>
      <c r="E42">
        <v>0.02</v>
      </c>
      <c r="F42">
        <v>0.02</v>
      </c>
      <c r="G42">
        <v>0.02</v>
      </c>
      <c r="H42">
        <v>2.1999999999999999E-2</v>
      </c>
      <c r="I42">
        <v>2.5000000000000001E-2</v>
      </c>
      <c r="J42">
        <v>2.8000000000000001E-2</v>
      </c>
      <c r="K42">
        <v>2.8868939999999999E-2</v>
      </c>
      <c r="L42">
        <v>3.0803297213134125E-2</v>
      </c>
      <c r="M42">
        <v>5.0795714354283386E-2</v>
      </c>
      <c r="N42">
        <v>3.7638884469729676E-2</v>
      </c>
      <c r="O42">
        <v>4.8632414333635951E-2</v>
      </c>
      <c r="P42">
        <v>4.6824429051794063E-2</v>
      </c>
      <c r="Q42">
        <v>6.7301834862385335E-2</v>
      </c>
      <c r="R42">
        <v>4.9041109802463012E-2</v>
      </c>
    </row>
    <row r="43" spans="2:18">
      <c r="B43" s="1" t="s">
        <v>813</v>
      </c>
      <c r="C43" t="s">
        <v>799</v>
      </c>
      <c r="D43" t="s">
        <v>799</v>
      </c>
      <c r="E43" t="s">
        <v>799</v>
      </c>
      <c r="F43" t="s">
        <v>799</v>
      </c>
      <c r="G43" t="s">
        <v>799</v>
      </c>
      <c r="H43" t="s">
        <v>799</v>
      </c>
      <c r="I43">
        <v>4.4999999999999998E-2</v>
      </c>
      <c r="J43">
        <v>4.0399999999999998E-2</v>
      </c>
      <c r="K43">
        <v>4.1583780000000001E-2</v>
      </c>
      <c r="L43">
        <v>3.6908455219340892E-2</v>
      </c>
      <c r="M43">
        <v>4.0616212479677498E-2</v>
      </c>
      <c r="N43">
        <v>3.0096021850545371E-2</v>
      </c>
      <c r="O43">
        <v>3.1810382490361881E-2</v>
      </c>
      <c r="P43">
        <v>3.0627782281419401E-2</v>
      </c>
      <c r="Q43">
        <v>4.4005045871559637E-2</v>
      </c>
      <c r="R43">
        <v>3.9181669972725021E-2</v>
      </c>
    </row>
    <row r="44" spans="2:18">
      <c r="B44" t="s">
        <v>304</v>
      </c>
      <c r="C44">
        <v>2.2499999999999999E-2</v>
      </c>
      <c r="D44">
        <v>0.02</v>
      </c>
      <c r="E44">
        <v>0.02</v>
      </c>
      <c r="F44">
        <v>0.02</v>
      </c>
      <c r="G44">
        <v>0.02</v>
      </c>
      <c r="H44">
        <v>2.5000000000000001E-2</v>
      </c>
      <c r="I44">
        <v>2.5000000000000001E-2</v>
      </c>
      <c r="J44">
        <v>3.3700000000000001E-2</v>
      </c>
      <c r="K44">
        <v>3.4705260000000002E-2</v>
      </c>
      <c r="L44">
        <v>3.0803297213134125E-2</v>
      </c>
      <c r="M44">
        <v>3.3897741242437607E-2</v>
      </c>
      <c r="N44">
        <v>2.5117732521883724E-2</v>
      </c>
      <c r="O44">
        <v>2.208389962363469E-2</v>
      </c>
      <c r="P44">
        <v>2.1262896471060586E-2</v>
      </c>
      <c r="Q44">
        <v>2.3296788990825688E-2</v>
      </c>
      <c r="R44">
        <v>2.0743237044383835E-2</v>
      </c>
    </row>
    <row r="45" spans="2:18">
      <c r="B45" t="s">
        <v>168</v>
      </c>
      <c r="C45">
        <v>0.12</v>
      </c>
      <c r="D45">
        <v>7.4999999999999997E-2</v>
      </c>
      <c r="E45">
        <v>7.0000000000000007E-2</v>
      </c>
      <c r="F45">
        <v>7.0000000000000007E-2</v>
      </c>
      <c r="G45">
        <v>7.0000000000000007E-2</v>
      </c>
      <c r="H45">
        <v>7.4999999999999997E-2</v>
      </c>
      <c r="I45">
        <v>0.09</v>
      </c>
      <c r="J45">
        <v>0.10100000000000001</v>
      </c>
      <c r="K45">
        <v>0.10401156</v>
      </c>
      <c r="L45">
        <v>9.2317389245368947E-2</v>
      </c>
      <c r="M45">
        <v>0.10159142870856677</v>
      </c>
      <c r="N45">
        <v>7.5277768939459352E-2</v>
      </c>
      <c r="O45">
        <v>7.9565818860604404E-2</v>
      </c>
      <c r="P45">
        <v>0.10209260760473131</v>
      </c>
      <c r="Q45">
        <v>0.14682729357798166</v>
      </c>
      <c r="R45">
        <v>0.13073361124886354</v>
      </c>
    </row>
    <row r="46" spans="2:18">
      <c r="B46" t="s">
        <v>171</v>
      </c>
      <c r="C46" t="s">
        <v>799</v>
      </c>
      <c r="D46" t="s">
        <v>799</v>
      </c>
      <c r="E46" t="s">
        <v>799</v>
      </c>
      <c r="F46" t="s">
        <v>799</v>
      </c>
      <c r="G46" t="s">
        <v>799</v>
      </c>
      <c r="H46">
        <v>4.4999999999999998E-2</v>
      </c>
      <c r="I46">
        <v>1.2E-2</v>
      </c>
      <c r="J46">
        <v>1.35E-2</v>
      </c>
      <c r="K46">
        <v>8.6606820000000001E-2</v>
      </c>
      <c r="L46">
        <v>1.2302818406446965E-2</v>
      </c>
      <c r="M46">
        <v>1.3538737493225832E-2</v>
      </c>
      <c r="N46">
        <v>1.3350866835956217E-2</v>
      </c>
      <c r="O46">
        <v>1.0603460830120627E-2</v>
      </c>
      <c r="P46">
        <v>1.6196646770374669E-2</v>
      </c>
      <c r="Q46">
        <v>2.3296788990825688E-2</v>
      </c>
      <c r="R46">
        <v>2.3944353872220846E-2</v>
      </c>
    </row>
    <row r="47" spans="2:18">
      <c r="B47" t="s">
        <v>180</v>
      </c>
      <c r="C47">
        <v>1.2E-2</v>
      </c>
      <c r="D47">
        <v>7.4999999999999997E-3</v>
      </c>
      <c r="E47">
        <v>7.0000000000000001E-3</v>
      </c>
      <c r="F47">
        <v>0.02</v>
      </c>
      <c r="G47">
        <v>0.06</v>
      </c>
      <c r="H47">
        <v>0.1</v>
      </c>
      <c r="I47">
        <v>6.5000000000000002E-2</v>
      </c>
      <c r="J47">
        <v>5.0500000000000003E-2</v>
      </c>
      <c r="K47">
        <v>5.2005780000000001E-2</v>
      </c>
      <c r="L47">
        <v>3.6908455219340892E-2</v>
      </c>
      <c r="M47">
        <v>3.3897741242437607E-2</v>
      </c>
      <c r="N47">
        <v>2.5117732521883724E-2</v>
      </c>
      <c r="O47">
        <v>2.6548514710001261E-2</v>
      </c>
      <c r="P47">
        <v>2.1262896471060586E-2</v>
      </c>
      <c r="Q47">
        <v>3.0630963302752296E-2</v>
      </c>
      <c r="R47">
        <v>2.0743237044383835E-2</v>
      </c>
    </row>
    <row r="48" spans="2:18">
      <c r="B48" t="s">
        <v>183</v>
      </c>
      <c r="C48" t="s">
        <v>799</v>
      </c>
      <c r="D48" t="s">
        <v>799</v>
      </c>
      <c r="E48">
        <v>8.5000000000000006E-3</v>
      </c>
      <c r="F48" t="s">
        <v>799</v>
      </c>
      <c r="G48" t="s">
        <v>799</v>
      </c>
      <c r="H48">
        <v>7.0000000000000001E-3</v>
      </c>
      <c r="I48">
        <v>7.0000000000000001E-3</v>
      </c>
      <c r="J48">
        <v>7.9000000000000008E-3</v>
      </c>
      <c r="K48">
        <v>8.1291599999999999E-3</v>
      </c>
      <c r="L48">
        <v>7.2151867346079935E-3</v>
      </c>
      <c r="M48">
        <v>7.9400114621925918E-3</v>
      </c>
      <c r="N48">
        <v>5.0537179548534828E-3</v>
      </c>
      <c r="O48">
        <v>5.3415930497600151E-3</v>
      </c>
      <c r="P48">
        <v>5.1430110597872171E-3</v>
      </c>
      <c r="Q48">
        <v>7.3341743119266058E-3</v>
      </c>
      <c r="R48">
        <v>6.5302783287875029E-3</v>
      </c>
    </row>
    <row r="49" spans="2:18">
      <c r="B49" t="s">
        <v>195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2:18">
      <c r="B50" t="s">
        <v>198</v>
      </c>
      <c r="C50">
        <v>7.4999999999999997E-2</v>
      </c>
      <c r="D50">
        <v>5.5E-2</v>
      </c>
      <c r="E50">
        <v>0.04</v>
      </c>
      <c r="F50">
        <v>0.04</v>
      </c>
      <c r="G50">
        <v>0.04</v>
      </c>
      <c r="H50">
        <v>4.4999999999999998E-2</v>
      </c>
      <c r="I50">
        <v>4.4999999999999998E-2</v>
      </c>
      <c r="J50">
        <v>5.0500000000000003E-2</v>
      </c>
      <c r="K50">
        <v>5.2005780000000001E-2</v>
      </c>
      <c r="L50">
        <v>3.6908455219340892E-2</v>
      </c>
      <c r="M50">
        <v>4.0616212479677498E-2</v>
      </c>
      <c r="N50">
        <v>3.0096021850545371E-2</v>
      </c>
      <c r="O50">
        <v>3.1810382490361881E-2</v>
      </c>
      <c r="P50">
        <v>3.0627782281419401E-2</v>
      </c>
      <c r="Q50">
        <v>4.4005045871559637E-2</v>
      </c>
      <c r="R50">
        <v>3.9181669972725021E-2</v>
      </c>
    </row>
    <row r="51" spans="2:18">
      <c r="B51" t="s">
        <v>204</v>
      </c>
      <c r="C51">
        <v>0.18</v>
      </c>
      <c r="D51">
        <v>0.1</v>
      </c>
      <c r="E51">
        <v>0.1</v>
      </c>
      <c r="F51">
        <v>8.5000000000000006E-2</v>
      </c>
      <c r="G51">
        <v>7.0000000000000007E-2</v>
      </c>
      <c r="H51">
        <v>7.4999999999999997E-2</v>
      </c>
      <c r="I51">
        <v>6.5000000000000002E-2</v>
      </c>
      <c r="J51">
        <v>7.2900000000000006E-2</v>
      </c>
      <c r="K51">
        <v>7.5142619999999993E-2</v>
      </c>
      <c r="L51">
        <v>6.6694226098107226E-2</v>
      </c>
      <c r="M51">
        <v>7.3394208515908457E-2</v>
      </c>
      <c r="N51">
        <v>5.4384039484318816E-2</v>
      </c>
      <c r="O51">
        <v>8.8335598494538758E-2</v>
      </c>
      <c r="P51">
        <v>8.5051585884242345E-2</v>
      </c>
      <c r="Q51">
        <v>0.12238004587155965</v>
      </c>
      <c r="R51">
        <v>0.10896601681957188</v>
      </c>
    </row>
    <row r="52" spans="2:18">
      <c r="B52" t="s">
        <v>207</v>
      </c>
      <c r="C52">
        <v>0.03</v>
      </c>
      <c r="D52">
        <v>2.5000000000000001E-2</v>
      </c>
      <c r="E52">
        <v>2.4E-2</v>
      </c>
      <c r="F52">
        <v>0.05</v>
      </c>
      <c r="G52">
        <v>0.05</v>
      </c>
      <c r="H52">
        <v>7.4999999999999997E-2</v>
      </c>
      <c r="I52">
        <v>7.4999999999999997E-2</v>
      </c>
      <c r="J52">
        <v>7.2900000000000006E-2</v>
      </c>
      <c r="K52">
        <v>7.5142619999999993E-2</v>
      </c>
      <c r="L52">
        <v>6.6694226098107226E-2</v>
      </c>
      <c r="M52">
        <v>7.3394208515908457E-2</v>
      </c>
      <c r="N52">
        <v>4.6011461977024243E-2</v>
      </c>
      <c r="O52">
        <v>4.8632414333635951E-2</v>
      </c>
      <c r="P52">
        <v>4.6824429051794063E-2</v>
      </c>
      <c r="Q52">
        <v>6.7301834862385335E-2</v>
      </c>
      <c r="R52">
        <v>8.1692501446400528E-2</v>
      </c>
    </row>
    <row r="53" spans="2:18">
      <c r="B53" t="s">
        <v>598</v>
      </c>
      <c r="C53">
        <v>2.2499999999999999E-2</v>
      </c>
      <c r="D53">
        <v>0.1</v>
      </c>
      <c r="E53">
        <v>0.1</v>
      </c>
      <c r="F53">
        <v>2.75E-2</v>
      </c>
      <c r="G53">
        <v>3.2500000000000001E-2</v>
      </c>
      <c r="H53">
        <v>3.5999999999999997E-2</v>
      </c>
      <c r="I53">
        <v>3.5999999999999997E-2</v>
      </c>
      <c r="J53">
        <v>4.0399999999999998E-2</v>
      </c>
      <c r="K53">
        <v>7.5142619999999993E-2</v>
      </c>
      <c r="L53">
        <v>7.6869489441785163E-2</v>
      </c>
      <c r="M53">
        <v>8.4591660577974931E-2</v>
      </c>
      <c r="N53">
        <v>5.4384039484318816E-2</v>
      </c>
      <c r="O53">
        <v>5.74819192369697E-2</v>
      </c>
      <c r="P53">
        <v>6.3788689413181762E-2</v>
      </c>
      <c r="Q53">
        <v>0.12238004587155965</v>
      </c>
      <c r="R53">
        <v>0.10896601681957188</v>
      </c>
    </row>
    <row r="54" spans="2:18">
      <c r="B54" t="s">
        <v>219</v>
      </c>
      <c r="C54">
        <v>1.4E-2</v>
      </c>
      <c r="D54">
        <v>8.9999999999999993E-3</v>
      </c>
      <c r="E54">
        <v>8.5000000000000006E-3</v>
      </c>
      <c r="F54">
        <v>8.5000000000000006E-3</v>
      </c>
      <c r="G54">
        <v>8.5000000000000006E-3</v>
      </c>
      <c r="H54">
        <v>7.0000000000000001E-3</v>
      </c>
      <c r="I54">
        <v>7.0000000000000001E-3</v>
      </c>
      <c r="J54">
        <v>7.9000000000000008E-3</v>
      </c>
      <c r="K54">
        <v>8.1291599999999999E-3</v>
      </c>
      <c r="L54">
        <v>7.2151867346079935E-3</v>
      </c>
      <c r="M54">
        <v>7.9400114621925918E-3</v>
      </c>
      <c r="N54">
        <v>5.8834328429637562E-3</v>
      </c>
      <c r="O54">
        <v>6.2185710131534505E-3</v>
      </c>
      <c r="P54">
        <v>5.987386009901537E-3</v>
      </c>
      <c r="Q54">
        <v>8.6284403669724778E-3</v>
      </c>
      <c r="R54">
        <v>7.6826803868088279E-3</v>
      </c>
    </row>
    <row r="55" spans="2:18">
      <c r="B55" t="s">
        <v>222</v>
      </c>
      <c r="C55" t="s">
        <v>799</v>
      </c>
      <c r="D55" t="s">
        <v>799</v>
      </c>
      <c r="E55" t="s">
        <v>799</v>
      </c>
      <c r="F55" t="s">
        <v>799</v>
      </c>
      <c r="G55" t="s">
        <v>799</v>
      </c>
      <c r="H55" t="s">
        <v>799</v>
      </c>
      <c r="I55">
        <v>4.4999999999999998E-2</v>
      </c>
      <c r="J55">
        <v>5.0500000000000003E-2</v>
      </c>
      <c r="K55">
        <v>5.2005780000000001E-2</v>
      </c>
      <c r="L55">
        <v>4.6158694622684474E-2</v>
      </c>
      <c r="M55">
        <v>5.0795714354283386E-2</v>
      </c>
      <c r="N55">
        <v>3.7638884469729676E-2</v>
      </c>
      <c r="O55">
        <v>4.8632414333635951E-2</v>
      </c>
      <c r="P55">
        <v>7.6607836383099148E-2</v>
      </c>
      <c r="Q55">
        <v>0.11015642201834862</v>
      </c>
      <c r="R55">
        <v>9.8082219604926024E-2</v>
      </c>
    </row>
    <row r="56" spans="2:18">
      <c r="B56" t="s">
        <v>228</v>
      </c>
      <c r="C56" t="s">
        <v>799</v>
      </c>
      <c r="D56" t="s">
        <v>799</v>
      </c>
      <c r="E56" t="s">
        <v>799</v>
      </c>
      <c r="F56" t="s">
        <v>799</v>
      </c>
      <c r="G56" t="s">
        <v>799</v>
      </c>
      <c r="H56">
        <v>4.4999999999999998E-2</v>
      </c>
      <c r="I56">
        <v>4.4999999999999998E-2</v>
      </c>
      <c r="J56">
        <v>5.0500000000000003E-2</v>
      </c>
      <c r="K56">
        <v>5.2005780000000001E-2</v>
      </c>
      <c r="L56">
        <v>3.6908455219340892E-2</v>
      </c>
      <c r="M56">
        <v>4.0616212479677498E-2</v>
      </c>
      <c r="N56">
        <v>3.0096021850545371E-2</v>
      </c>
      <c r="O56">
        <v>3.1810382490361881E-2</v>
      </c>
      <c r="P56">
        <v>3.8303918191549574E-2</v>
      </c>
      <c r="Q56">
        <v>5.5078211009174309E-2</v>
      </c>
      <c r="R56">
        <v>4.9041109802463012E-2</v>
      </c>
    </row>
    <row r="57" spans="2:18">
      <c r="B57" t="s">
        <v>225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4.4999999999999997E-3</v>
      </c>
      <c r="K57">
        <v>4.58568E-3</v>
      </c>
      <c r="L57">
        <v>4.0701053374711752E-3</v>
      </c>
      <c r="M57">
        <v>4.4789808248265903E-3</v>
      </c>
      <c r="N57">
        <v>3.3188595524410928E-3</v>
      </c>
      <c r="O57">
        <v>3.5079118535737406E-3</v>
      </c>
      <c r="P57">
        <v>3.3774998004572764E-3</v>
      </c>
      <c r="Q57">
        <v>4.8894495412844033E-3</v>
      </c>
      <c r="R57">
        <v>4.3535188858583353E-3</v>
      </c>
    </row>
    <row r="58" spans="2:18">
      <c r="B58" t="s">
        <v>234</v>
      </c>
      <c r="C58">
        <v>0</v>
      </c>
      <c r="D58">
        <v>0</v>
      </c>
      <c r="E58">
        <v>0</v>
      </c>
      <c r="F58">
        <v>0</v>
      </c>
      <c r="G58">
        <v>2.5000000000000001E-3</v>
      </c>
      <c r="H58">
        <v>4.0000000000000001E-3</v>
      </c>
      <c r="I58">
        <v>4.0000000000000001E-3</v>
      </c>
      <c r="J58">
        <v>5.5999999999999999E-3</v>
      </c>
      <c r="K58">
        <v>5.7320999999999995E-3</v>
      </c>
      <c r="L58">
        <v>5.0876316718389695E-3</v>
      </c>
      <c r="M58">
        <v>5.5987260310332385E-3</v>
      </c>
      <c r="N58">
        <v>4.1485744405513666E-3</v>
      </c>
      <c r="O58">
        <v>4.3848898169671765E-3</v>
      </c>
      <c r="P58">
        <v>4.2218747505715949E-3</v>
      </c>
      <c r="Q58">
        <v>6.0399082568807346E-3</v>
      </c>
      <c r="R58">
        <v>5.3778762707661788E-3</v>
      </c>
    </row>
    <row r="59" spans="2:18">
      <c r="B59" t="s">
        <v>243</v>
      </c>
      <c r="C59" t="s">
        <v>799</v>
      </c>
      <c r="D59" t="s">
        <v>799</v>
      </c>
      <c r="E59" t="s">
        <v>799</v>
      </c>
      <c r="F59" t="s">
        <v>799</v>
      </c>
      <c r="G59" t="s">
        <v>799</v>
      </c>
      <c r="H59">
        <v>3.5999999999999997E-2</v>
      </c>
      <c r="I59">
        <v>3.5999999999999997E-2</v>
      </c>
      <c r="J59">
        <v>5.0500000000000003E-2</v>
      </c>
      <c r="K59">
        <v>5.2005780000000001E-2</v>
      </c>
      <c r="L59">
        <v>6.6694226098107226E-2</v>
      </c>
      <c r="M59">
        <v>8.4591660577974931E-2</v>
      </c>
      <c r="N59">
        <v>6.2681188365421567E-2</v>
      </c>
      <c r="O59">
        <v>6.6251698870904069E-2</v>
      </c>
      <c r="P59">
        <v>6.3788689413181762E-2</v>
      </c>
      <c r="Q59">
        <v>9.1749082568807344E-2</v>
      </c>
      <c r="R59">
        <v>8.1692501446400528E-2</v>
      </c>
    </row>
    <row r="60" spans="2:18">
      <c r="B60" t="s">
        <v>249</v>
      </c>
      <c r="C60" t="s">
        <v>799</v>
      </c>
      <c r="D60" t="s">
        <v>799</v>
      </c>
      <c r="E60">
        <v>3.2500000000000001E-2</v>
      </c>
      <c r="F60">
        <v>3.2500000000000001E-2</v>
      </c>
      <c r="G60">
        <v>3.2500000000000001E-2</v>
      </c>
      <c r="H60">
        <v>3.5999999999999997E-2</v>
      </c>
      <c r="I60">
        <v>3.5999999999999997E-2</v>
      </c>
      <c r="J60">
        <v>4.0399999999999998E-2</v>
      </c>
      <c r="K60">
        <v>4.1583780000000001E-2</v>
      </c>
      <c r="L60">
        <v>3.0803297213134125E-2</v>
      </c>
      <c r="M60">
        <v>3.3897741242437607E-2</v>
      </c>
      <c r="N60">
        <v>2.5117732521883724E-2</v>
      </c>
      <c r="O60">
        <v>2.6548514710001261E-2</v>
      </c>
      <c r="P60">
        <v>2.5561532580733477E-2</v>
      </c>
      <c r="Q60">
        <v>3.6814678899082569E-2</v>
      </c>
      <c r="R60">
        <v>3.2779436317050999E-2</v>
      </c>
    </row>
    <row r="61" spans="2:18">
      <c r="B61" t="s">
        <v>186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2:18">
      <c r="B62" t="s">
        <v>254</v>
      </c>
      <c r="C62" t="s">
        <v>799</v>
      </c>
      <c r="D62" t="s">
        <v>799</v>
      </c>
      <c r="E62" t="s">
        <v>799</v>
      </c>
      <c r="F62" t="s">
        <v>799</v>
      </c>
      <c r="G62" t="s">
        <v>799</v>
      </c>
      <c r="H62">
        <v>4.4999999999999998E-2</v>
      </c>
      <c r="I62">
        <v>5.5E-2</v>
      </c>
      <c r="J62">
        <v>7.2900000000000006E-2</v>
      </c>
      <c r="K62">
        <v>7.5142619999999993E-2</v>
      </c>
      <c r="L62">
        <v>6.6694226098107226E-2</v>
      </c>
      <c r="M62">
        <v>7.3394208515908457E-2</v>
      </c>
      <c r="N62">
        <v>5.4384039484318816E-2</v>
      </c>
      <c r="O62">
        <v>5.74819192369697E-2</v>
      </c>
      <c r="P62">
        <v>5.5344939912038545E-2</v>
      </c>
      <c r="Q62">
        <v>0.14682729357798166</v>
      </c>
      <c r="R62">
        <v>0.10896601681957188</v>
      </c>
    </row>
    <row r="63" spans="2:18">
      <c r="B63" t="s">
        <v>275</v>
      </c>
      <c r="C63">
        <v>1.4E-2</v>
      </c>
      <c r="D63">
        <v>1.0500000000000001E-2</v>
      </c>
      <c r="E63">
        <v>2.4E-2</v>
      </c>
      <c r="F63">
        <v>7.0000000000000007E-2</v>
      </c>
      <c r="G63">
        <v>0.1</v>
      </c>
      <c r="H63">
        <v>0.1</v>
      </c>
      <c r="I63">
        <v>7.4999999999999997E-2</v>
      </c>
      <c r="J63">
        <v>0.11210000000000001</v>
      </c>
      <c r="K63">
        <v>0.11547576</v>
      </c>
      <c r="L63">
        <v>9.2317389245368947E-2</v>
      </c>
      <c r="M63">
        <v>7.3394208515908457E-2</v>
      </c>
      <c r="N63">
        <v>3.7638884469729676E-2</v>
      </c>
      <c r="O63">
        <v>3.1810382490361881E-2</v>
      </c>
      <c r="P63">
        <v>3.0627782281419401E-2</v>
      </c>
      <c r="Q63">
        <v>4.4005045871559637E-2</v>
      </c>
      <c r="R63">
        <v>2.7273515373171343E-2</v>
      </c>
    </row>
    <row r="64" spans="2:18">
      <c r="B64" t="s">
        <v>284</v>
      </c>
      <c r="C64">
        <v>0.03</v>
      </c>
      <c r="D64">
        <v>2.5000000000000001E-2</v>
      </c>
      <c r="E64">
        <v>2.4E-2</v>
      </c>
      <c r="F64">
        <v>2.4E-2</v>
      </c>
      <c r="G64">
        <v>2.4E-2</v>
      </c>
      <c r="H64">
        <v>2.5000000000000001E-2</v>
      </c>
      <c r="I64">
        <v>2.5000000000000001E-2</v>
      </c>
      <c r="J64">
        <v>2.8000000000000001E-2</v>
      </c>
      <c r="K64">
        <v>2.8868939999999999E-2</v>
      </c>
      <c r="L64">
        <v>2.5623163147261721E-2</v>
      </c>
      <c r="M64">
        <v>2.8197220192658311E-2</v>
      </c>
      <c r="N64">
        <v>2.0893729455140522E-2</v>
      </c>
      <c r="O64">
        <v>2.208389962363469E-2</v>
      </c>
      <c r="P64">
        <v>2.1262896471060586E-2</v>
      </c>
      <c r="Q64">
        <v>3.0630963302752296E-2</v>
      </c>
      <c r="R64">
        <v>2.7273515373171343E-2</v>
      </c>
    </row>
    <row r="65" spans="2:18">
      <c r="B65" t="s">
        <v>787</v>
      </c>
      <c r="C65" t="s">
        <v>799</v>
      </c>
      <c r="D65" t="s">
        <v>799</v>
      </c>
      <c r="E65" t="s">
        <v>799</v>
      </c>
      <c r="F65" t="s">
        <v>799</v>
      </c>
      <c r="G65" t="s">
        <v>799</v>
      </c>
      <c r="H65" t="s">
        <v>799</v>
      </c>
      <c r="I65">
        <v>4.0000000000000001E-3</v>
      </c>
      <c r="J65">
        <v>4.4999999999999997E-3</v>
      </c>
      <c r="K65">
        <v>4.58568E-3</v>
      </c>
      <c r="L65">
        <v>6.1976604002401993E-3</v>
      </c>
      <c r="M65">
        <v>6.8202662559859444E-3</v>
      </c>
      <c r="N65">
        <v>1.3350866835956217E-2</v>
      </c>
      <c r="O65">
        <v>0</v>
      </c>
      <c r="P65">
        <v>5.1430110597872171E-3</v>
      </c>
      <c r="Q65">
        <v>0</v>
      </c>
      <c r="R65">
        <v>7.6826803868088279E-3</v>
      </c>
    </row>
    <row r="66" spans="2:18">
      <c r="B66" t="s">
        <v>301</v>
      </c>
      <c r="C66">
        <v>7.4999999999999997E-2</v>
      </c>
      <c r="D66">
        <v>5.5E-2</v>
      </c>
      <c r="E66">
        <v>0.05</v>
      </c>
      <c r="F66">
        <v>0.05</v>
      </c>
      <c r="G66">
        <v>0.05</v>
      </c>
      <c r="H66">
        <v>5.5E-2</v>
      </c>
      <c r="I66">
        <v>6.5000000000000002E-2</v>
      </c>
      <c r="J66">
        <v>6.1699999999999998E-2</v>
      </c>
      <c r="K66">
        <v>6.3574199999999997E-2</v>
      </c>
      <c r="L66">
        <v>4.6158694622684474E-2</v>
      </c>
      <c r="M66">
        <v>5.0795714354283386E-2</v>
      </c>
      <c r="N66">
        <v>3.7638884469729676E-2</v>
      </c>
      <c r="O66">
        <v>3.9782909430302202E-2</v>
      </c>
      <c r="P66">
        <v>3.8303918191549574E-2</v>
      </c>
      <c r="Q66">
        <v>5.5078211009174309E-2</v>
      </c>
      <c r="R66">
        <v>4.9041109802463012E-2</v>
      </c>
    </row>
    <row r="67" spans="2:18">
      <c r="B67" t="s">
        <v>788</v>
      </c>
      <c r="C67">
        <v>0.01</v>
      </c>
      <c r="D67">
        <v>6.0000000000000001E-3</v>
      </c>
      <c r="E67">
        <v>2.5000000000000001E-3</v>
      </c>
      <c r="F67">
        <v>2.5000000000000001E-3</v>
      </c>
      <c r="G67">
        <v>2.5000000000000001E-3</v>
      </c>
      <c r="H67">
        <v>4.0000000000000001E-3</v>
      </c>
      <c r="I67">
        <v>4.0000000000000001E-3</v>
      </c>
      <c r="J67">
        <v>4.4999999999999997E-3</v>
      </c>
      <c r="K67">
        <v>4.58568E-3</v>
      </c>
      <c r="L67">
        <v>5.0876316718389695E-3</v>
      </c>
      <c r="M67">
        <v>5.5987260310332385E-3</v>
      </c>
      <c r="N67">
        <v>4.1485744405513666E-3</v>
      </c>
      <c r="O67">
        <v>5.3415930497600151E-3</v>
      </c>
      <c r="P67">
        <v>5.1430110597872171E-3</v>
      </c>
      <c r="Q67">
        <v>7.3341743119266058E-3</v>
      </c>
      <c r="R67">
        <v>6.5302783287875029E-3</v>
      </c>
    </row>
    <row r="68" spans="2:18">
      <c r="B68" t="s">
        <v>310</v>
      </c>
      <c r="C68">
        <v>1.7500000000000002E-2</v>
      </c>
      <c r="D68">
        <v>1.6E-2</v>
      </c>
      <c r="E68">
        <v>0.02</v>
      </c>
      <c r="F68">
        <v>2.4E-2</v>
      </c>
      <c r="G68">
        <v>2.4E-2</v>
      </c>
      <c r="H68">
        <v>2.5000000000000001E-2</v>
      </c>
      <c r="I68">
        <v>2.5000000000000001E-2</v>
      </c>
      <c r="J68">
        <v>2.8000000000000001E-2</v>
      </c>
      <c r="K68">
        <v>2.542968E-2</v>
      </c>
      <c r="L68">
        <v>2.2570584144158336E-2</v>
      </c>
      <c r="M68">
        <v>2.4837984574038366E-2</v>
      </c>
      <c r="N68">
        <v>1.8404584790809697E-2</v>
      </c>
      <c r="O68">
        <v>1.9452965733454383E-2</v>
      </c>
      <c r="P68">
        <v>1.6196646770374669E-2</v>
      </c>
      <c r="Q68">
        <v>2.3296788990825688E-2</v>
      </c>
      <c r="R68">
        <v>2.0743237044383835E-2</v>
      </c>
    </row>
    <row r="69" spans="2:18">
      <c r="B69" t="s">
        <v>334</v>
      </c>
      <c r="C69">
        <v>0.02</v>
      </c>
      <c r="D69">
        <v>0.02</v>
      </c>
      <c r="E69">
        <v>0.02</v>
      </c>
      <c r="F69">
        <v>0.02</v>
      </c>
      <c r="G69">
        <v>0.02</v>
      </c>
      <c r="H69">
        <v>2.1999999999999999E-2</v>
      </c>
      <c r="I69">
        <v>2.1999999999999999E-2</v>
      </c>
      <c r="J69">
        <v>2.1299999999999999E-2</v>
      </c>
      <c r="K69">
        <v>1.3861260000000002E-2</v>
      </c>
      <c r="L69">
        <v>1.2302818406446965E-2</v>
      </c>
      <c r="M69">
        <v>1.3538737493225832E-2</v>
      </c>
      <c r="N69">
        <v>7.0902908620332442E-3</v>
      </c>
      <c r="O69">
        <v>7.4941753235439005E-3</v>
      </c>
      <c r="P69">
        <v>7.2155677555223634E-3</v>
      </c>
      <c r="Q69">
        <v>1.0354128440366973E-2</v>
      </c>
      <c r="R69">
        <v>9.2192164641705932E-3</v>
      </c>
    </row>
    <row r="70" spans="2:18">
      <c r="B70" t="s">
        <v>319</v>
      </c>
      <c r="C70">
        <v>0.04</v>
      </c>
      <c r="D70">
        <v>0.03</v>
      </c>
      <c r="E70">
        <v>2.4E-2</v>
      </c>
      <c r="F70">
        <v>0.02</v>
      </c>
      <c r="G70">
        <v>0.02</v>
      </c>
      <c r="H70">
        <v>2.1999999999999999E-2</v>
      </c>
      <c r="I70">
        <v>2.1999999999999999E-2</v>
      </c>
      <c r="J70">
        <v>2.47E-2</v>
      </c>
      <c r="K70">
        <v>2.542968E-2</v>
      </c>
      <c r="L70">
        <v>1.9518005141054957E-2</v>
      </c>
      <c r="M70">
        <v>2.147874895541842E-2</v>
      </c>
      <c r="N70">
        <v>1.5915440126478879E-2</v>
      </c>
      <c r="O70">
        <v>1.9452965733454383E-2</v>
      </c>
      <c r="P70">
        <v>1.8729771620717626E-2</v>
      </c>
      <c r="Q70">
        <v>2.6891972477064225E-2</v>
      </c>
      <c r="R70">
        <v>2.3944353872220846E-2</v>
      </c>
    </row>
    <row r="71" spans="2:18">
      <c r="B71" t="s">
        <v>313</v>
      </c>
      <c r="C71">
        <v>5.2499999999999998E-2</v>
      </c>
      <c r="D71">
        <v>0.03</v>
      </c>
      <c r="E71">
        <v>2.75E-2</v>
      </c>
      <c r="F71">
        <v>2.4E-2</v>
      </c>
      <c r="G71">
        <v>0.02</v>
      </c>
      <c r="H71">
        <v>2.1999999999999999E-2</v>
      </c>
      <c r="I71">
        <v>2.1999999999999999E-2</v>
      </c>
      <c r="J71">
        <v>2.47E-2</v>
      </c>
      <c r="K71">
        <v>2.542968E-2</v>
      </c>
      <c r="L71">
        <v>2.2570584144158336E-2</v>
      </c>
      <c r="M71">
        <v>2.147874895541842E-2</v>
      </c>
      <c r="N71">
        <v>1.5915440126478879E-2</v>
      </c>
      <c r="O71">
        <v>1.6822031843274077E-2</v>
      </c>
      <c r="P71">
        <v>1.6196646770374669E-2</v>
      </c>
      <c r="Q71">
        <v>2.3296788990825688E-2</v>
      </c>
      <c r="R71">
        <v>2.0743237044383835E-2</v>
      </c>
    </row>
    <row r="72" spans="2:18">
      <c r="B72" t="s">
        <v>331</v>
      </c>
      <c r="C72" t="s">
        <v>799</v>
      </c>
      <c r="D72" t="s">
        <v>799</v>
      </c>
      <c r="E72" t="s">
        <v>799</v>
      </c>
      <c r="F72" t="s">
        <v>799</v>
      </c>
      <c r="G72" t="s">
        <v>799</v>
      </c>
      <c r="H72" t="s">
        <v>799</v>
      </c>
      <c r="I72" t="s">
        <v>799</v>
      </c>
      <c r="J72">
        <v>7.2900000000000006E-2</v>
      </c>
      <c r="K72">
        <v>7.5142619999999993E-2</v>
      </c>
      <c r="L72">
        <v>7.6869489441785163E-2</v>
      </c>
      <c r="M72">
        <v>8.4591660577974931E-2</v>
      </c>
      <c r="N72">
        <v>6.2681188365421567E-2</v>
      </c>
      <c r="O72">
        <v>6.6251698870904069E-2</v>
      </c>
      <c r="P72">
        <v>6.3788689413181762E-2</v>
      </c>
      <c r="Q72">
        <v>9.1749082568807344E-2</v>
      </c>
      <c r="R72">
        <v>8.1692501446400528E-2</v>
      </c>
    </row>
    <row r="73" spans="2:18">
      <c r="B73" t="s">
        <v>325</v>
      </c>
      <c r="C73">
        <v>0</v>
      </c>
      <c r="D73">
        <v>3.0000000000000001E-3</v>
      </c>
      <c r="E73">
        <v>1.5000000000000001E-2</v>
      </c>
      <c r="F73">
        <v>2.4E-2</v>
      </c>
      <c r="G73">
        <v>2.4E-2</v>
      </c>
      <c r="H73">
        <v>2.5000000000000001E-2</v>
      </c>
      <c r="I73">
        <v>1.6E-2</v>
      </c>
      <c r="J73">
        <v>1.35E-2</v>
      </c>
      <c r="K73">
        <v>1.3861260000000002E-2</v>
      </c>
      <c r="L73">
        <v>8.6952250391429675E-3</v>
      </c>
      <c r="M73">
        <v>9.5687317621295353E-3</v>
      </c>
      <c r="N73">
        <v>7.0902908620332442E-3</v>
      </c>
      <c r="O73">
        <v>7.4941753235439005E-3</v>
      </c>
      <c r="P73">
        <v>7.2155677555223634E-3</v>
      </c>
      <c r="Q73">
        <v>8.6284403669724778E-3</v>
      </c>
      <c r="R73">
        <v>6.5302783287875029E-3</v>
      </c>
    </row>
    <row r="74" spans="2:18">
      <c r="B74" t="s">
        <v>316</v>
      </c>
      <c r="C74">
        <v>0</v>
      </c>
      <c r="D74">
        <v>0</v>
      </c>
      <c r="E74">
        <v>0</v>
      </c>
      <c r="F74">
        <v>0</v>
      </c>
      <c r="G74">
        <v>0</v>
      </c>
      <c r="H74">
        <v>4.0000000000000001E-3</v>
      </c>
      <c r="I74">
        <v>4.0000000000000001E-3</v>
      </c>
      <c r="J74">
        <v>4.4999999999999997E-3</v>
      </c>
      <c r="K74">
        <v>4.58568E-3</v>
      </c>
      <c r="L74">
        <v>5.0876316718389695E-3</v>
      </c>
      <c r="M74">
        <v>5.5987260310332385E-3</v>
      </c>
      <c r="N74">
        <v>4.1485744405513666E-3</v>
      </c>
      <c r="O74">
        <v>5.3415930497600151E-3</v>
      </c>
      <c r="P74">
        <v>5.1430110597872171E-3</v>
      </c>
      <c r="Q74">
        <v>7.3341743119266058E-3</v>
      </c>
      <c r="R74">
        <v>6.5302783287875029E-3</v>
      </c>
    </row>
    <row r="75" spans="2:18">
      <c r="B75" t="s">
        <v>337</v>
      </c>
      <c r="C75">
        <v>1.4E-2</v>
      </c>
      <c r="D75">
        <v>8.9999999999999993E-3</v>
      </c>
      <c r="E75">
        <v>8.5000000000000006E-3</v>
      </c>
      <c r="F75">
        <v>8.5000000000000006E-3</v>
      </c>
      <c r="G75">
        <v>8.5000000000000006E-3</v>
      </c>
      <c r="H75">
        <v>7.0000000000000001E-3</v>
      </c>
      <c r="I75">
        <v>7.0000000000000001E-3</v>
      </c>
      <c r="J75">
        <v>7.9000000000000008E-3</v>
      </c>
      <c r="K75">
        <v>8.1291599999999999E-3</v>
      </c>
      <c r="L75">
        <v>7.2151867346079935E-3</v>
      </c>
      <c r="M75">
        <v>7.9400114621925918E-3</v>
      </c>
      <c r="N75">
        <v>5.8834328429637562E-3</v>
      </c>
      <c r="O75">
        <v>6.2185710131534505E-3</v>
      </c>
      <c r="P75">
        <v>5.987386009901537E-3</v>
      </c>
      <c r="Q75">
        <v>8.6284403669724778E-3</v>
      </c>
      <c r="R75">
        <v>7.6826803868088279E-3</v>
      </c>
    </row>
    <row r="76" spans="2:18">
      <c r="B76" t="s">
        <v>340</v>
      </c>
      <c r="C76">
        <v>0.01</v>
      </c>
      <c r="D76">
        <v>6.0000000000000001E-3</v>
      </c>
      <c r="E76">
        <v>5.0000000000000001E-3</v>
      </c>
      <c r="F76">
        <v>0.01</v>
      </c>
      <c r="G76">
        <v>1.7500000000000002E-2</v>
      </c>
      <c r="H76">
        <v>1.9E-2</v>
      </c>
      <c r="I76">
        <v>1.9E-2</v>
      </c>
      <c r="J76">
        <v>2.1299999999999999E-2</v>
      </c>
      <c r="K76">
        <v>2.199042E-2</v>
      </c>
      <c r="L76">
        <v>1.9518005141054957E-2</v>
      </c>
      <c r="M76">
        <v>2.4837984574038366E-2</v>
      </c>
      <c r="N76">
        <v>1.8404584790809697E-2</v>
      </c>
      <c r="O76">
        <v>1.9452965733454383E-2</v>
      </c>
      <c r="P76">
        <v>1.8729771620717626E-2</v>
      </c>
      <c r="Q76">
        <v>2.6891972477064225E-2</v>
      </c>
      <c r="R76">
        <v>2.3944353872220846E-2</v>
      </c>
    </row>
    <row r="77" spans="2:18">
      <c r="B77" t="s">
        <v>343</v>
      </c>
      <c r="C77">
        <v>0.04</v>
      </c>
      <c r="D77">
        <v>7.4999999999999997E-2</v>
      </c>
      <c r="E77">
        <v>6.0000000000000005E-2</v>
      </c>
      <c r="F77">
        <v>0.06</v>
      </c>
      <c r="G77">
        <v>0.06</v>
      </c>
      <c r="H77">
        <v>0.1</v>
      </c>
      <c r="I77">
        <v>0.1</v>
      </c>
      <c r="J77">
        <v>0.10100000000000001</v>
      </c>
      <c r="K77">
        <v>7.5142619999999993E-2</v>
      </c>
      <c r="L77">
        <v>6.6694226098107226E-2</v>
      </c>
      <c r="M77">
        <v>7.3394208515908457E-2</v>
      </c>
      <c r="N77">
        <v>4.6011461977024243E-2</v>
      </c>
      <c r="O77">
        <v>4.8632414333635951E-2</v>
      </c>
      <c r="P77">
        <v>4.6824429051794063E-2</v>
      </c>
      <c r="Q77">
        <v>6.7301834862385335E-2</v>
      </c>
      <c r="R77">
        <v>4.9041109802463012E-2</v>
      </c>
    </row>
    <row r="78" spans="2:18">
      <c r="B78" t="s">
        <v>351</v>
      </c>
      <c r="C78">
        <v>1.2E-2</v>
      </c>
      <c r="D78">
        <v>6.0000000000000001E-3</v>
      </c>
      <c r="E78">
        <v>5.0000000000000001E-3</v>
      </c>
      <c r="F78">
        <v>7.0000000000000001E-3</v>
      </c>
      <c r="G78">
        <v>7.0000000000000001E-3</v>
      </c>
      <c r="H78">
        <v>6.0000000000000001E-3</v>
      </c>
      <c r="I78">
        <v>7.0000000000000001E-3</v>
      </c>
      <c r="J78">
        <v>7.9000000000000008E-3</v>
      </c>
      <c r="K78">
        <v>8.1291599999999999E-3</v>
      </c>
      <c r="L78">
        <v>7.2151867346079935E-3</v>
      </c>
      <c r="M78">
        <v>7.9400114621925918E-3</v>
      </c>
      <c r="N78">
        <v>5.8834328429637562E-3</v>
      </c>
      <c r="O78">
        <v>6.2185710131534505E-3</v>
      </c>
      <c r="P78">
        <v>5.987386009901537E-3</v>
      </c>
      <c r="Q78">
        <v>8.6284403669724778E-3</v>
      </c>
      <c r="R78">
        <v>7.6826803868088279E-3</v>
      </c>
    </row>
    <row r="79" spans="2:18">
      <c r="B79" t="s">
        <v>789</v>
      </c>
      <c r="C79" t="s">
        <v>799</v>
      </c>
      <c r="D79" t="s">
        <v>799</v>
      </c>
      <c r="E79" t="s">
        <v>799</v>
      </c>
      <c r="F79" t="s">
        <v>799</v>
      </c>
      <c r="G79" t="s">
        <v>799</v>
      </c>
      <c r="H79" t="s">
        <v>799</v>
      </c>
      <c r="I79">
        <v>4.0000000000000001E-3</v>
      </c>
      <c r="J79">
        <v>4.4999999999999997E-3</v>
      </c>
      <c r="K79">
        <v>8.6606820000000001E-2</v>
      </c>
      <c r="L79">
        <v>6.1976604002401993E-3</v>
      </c>
      <c r="M79">
        <v>6.8202662559859444E-3</v>
      </c>
      <c r="N79">
        <v>5.8834328429637562E-3</v>
      </c>
      <c r="O79">
        <v>0</v>
      </c>
      <c r="P79">
        <v>0</v>
      </c>
      <c r="Q79">
        <v>0</v>
      </c>
      <c r="R79">
        <v>6.5302783287875029E-3</v>
      </c>
    </row>
    <row r="80" spans="2:18">
      <c r="B80" t="s">
        <v>348</v>
      </c>
      <c r="C80">
        <v>2.5999999999999999E-2</v>
      </c>
      <c r="D80">
        <v>0.02</v>
      </c>
      <c r="E80">
        <v>0.02</v>
      </c>
      <c r="F80">
        <v>2.75E-2</v>
      </c>
      <c r="G80">
        <v>2.75E-2</v>
      </c>
      <c r="H80">
        <v>4.4999999999999998E-2</v>
      </c>
      <c r="I80">
        <v>4.4999999999999998E-2</v>
      </c>
      <c r="J80">
        <v>5.0500000000000003E-2</v>
      </c>
      <c r="K80">
        <v>5.2005780000000001E-2</v>
      </c>
      <c r="L80">
        <v>4.6158694622684474E-2</v>
      </c>
      <c r="M80">
        <v>5.0795714354283386E-2</v>
      </c>
      <c r="N80">
        <v>3.7638884469729676E-2</v>
      </c>
      <c r="O80">
        <v>3.9782909430302202E-2</v>
      </c>
      <c r="P80">
        <v>3.8303918191549574E-2</v>
      </c>
      <c r="Q80">
        <v>5.5078211009174309E-2</v>
      </c>
      <c r="R80">
        <v>4.9041109802463012E-2</v>
      </c>
    </row>
    <row r="81" spans="2:18">
      <c r="B81" t="s">
        <v>354</v>
      </c>
      <c r="C81">
        <v>0.02</v>
      </c>
      <c r="D81">
        <v>1.7999999999999999E-2</v>
      </c>
      <c r="E81">
        <v>1.7500000000000002E-2</v>
      </c>
      <c r="F81">
        <v>1.7500000000000002E-2</v>
      </c>
      <c r="G81">
        <v>1.7500000000000002E-2</v>
      </c>
      <c r="H81">
        <v>1.9E-2</v>
      </c>
      <c r="I81">
        <v>1.9E-2</v>
      </c>
      <c r="J81">
        <v>2.47E-2</v>
      </c>
      <c r="K81">
        <v>2.542968E-2</v>
      </c>
      <c r="L81">
        <v>2.2570584144158336E-2</v>
      </c>
      <c r="M81">
        <v>2.4837984574038366E-2</v>
      </c>
      <c r="N81">
        <v>1.8404584790809697E-2</v>
      </c>
      <c r="O81">
        <v>1.9452965733454383E-2</v>
      </c>
      <c r="P81">
        <v>1.6196646770374669E-2</v>
      </c>
      <c r="Q81">
        <v>2.3296788990825688E-2</v>
      </c>
      <c r="R81">
        <v>2.0743237044383835E-2</v>
      </c>
    </row>
    <row r="82" spans="2:18">
      <c r="B82" t="s">
        <v>357</v>
      </c>
      <c r="C82" t="s">
        <v>799</v>
      </c>
      <c r="D82" t="s">
        <v>799</v>
      </c>
      <c r="E82" t="s">
        <v>799</v>
      </c>
      <c r="F82" t="s">
        <v>799</v>
      </c>
      <c r="G82">
        <v>0.04</v>
      </c>
      <c r="H82">
        <v>4.4999999999999998E-2</v>
      </c>
      <c r="I82">
        <v>4.4999999999999998E-2</v>
      </c>
      <c r="J82">
        <v>5.0500000000000003E-2</v>
      </c>
      <c r="K82">
        <v>5.2005780000000001E-2</v>
      </c>
      <c r="L82">
        <v>4.6158694622684474E-2</v>
      </c>
      <c r="M82">
        <v>6.2094961435095908E-2</v>
      </c>
      <c r="N82">
        <v>4.6011461977024243E-2</v>
      </c>
      <c r="O82">
        <v>4.8632414333635951E-2</v>
      </c>
      <c r="P82">
        <v>4.6824429051794063E-2</v>
      </c>
      <c r="Q82">
        <v>6.7301834862385335E-2</v>
      </c>
      <c r="R82">
        <v>7.0808704231754685E-2</v>
      </c>
    </row>
    <row r="83" spans="2:18">
      <c r="B83" t="s">
        <v>372</v>
      </c>
      <c r="C83">
        <v>1.6E-2</v>
      </c>
      <c r="D83">
        <v>1.0500000000000001E-2</v>
      </c>
      <c r="E83">
        <v>8.5000000000000006E-3</v>
      </c>
      <c r="F83">
        <v>8.5000000000000006E-3</v>
      </c>
      <c r="G83">
        <v>7.0000000000000001E-3</v>
      </c>
      <c r="H83">
        <v>6.0000000000000001E-3</v>
      </c>
      <c r="I83">
        <v>6.0000000000000001E-3</v>
      </c>
      <c r="J83">
        <v>5.5999999999999999E-3</v>
      </c>
      <c r="K83">
        <v>5.7320999999999995E-3</v>
      </c>
      <c r="L83">
        <v>5.0876316718389695E-3</v>
      </c>
      <c r="M83">
        <v>5.5987260310332385E-3</v>
      </c>
      <c r="N83">
        <v>4.1485744405513666E-3</v>
      </c>
      <c r="O83">
        <v>4.3848898169671765E-3</v>
      </c>
      <c r="P83">
        <v>4.2218747505715949E-3</v>
      </c>
      <c r="Q83">
        <v>6.0399082568807346E-3</v>
      </c>
      <c r="R83">
        <v>5.3778762707661788E-3</v>
      </c>
    </row>
    <row r="84" spans="2:18">
      <c r="B84" t="s">
        <v>375</v>
      </c>
      <c r="C84">
        <v>0.01</v>
      </c>
      <c r="D84">
        <v>6.0000000000000001E-3</v>
      </c>
      <c r="E84">
        <v>5.0000000000000001E-3</v>
      </c>
      <c r="F84">
        <v>5.0000000000000001E-3</v>
      </c>
      <c r="G84">
        <v>5.0000000000000001E-3</v>
      </c>
      <c r="H84">
        <v>5.0000000000000001E-3</v>
      </c>
      <c r="I84">
        <v>5.0000000000000001E-3</v>
      </c>
      <c r="J84">
        <v>5.5999999999999999E-3</v>
      </c>
      <c r="K84">
        <v>5.7320999999999995E-3</v>
      </c>
      <c r="L84">
        <v>5.0876316718389695E-3</v>
      </c>
      <c r="M84">
        <v>5.5987260310332385E-3</v>
      </c>
      <c r="N84">
        <v>4.1485744405513666E-3</v>
      </c>
      <c r="O84">
        <v>6.2185710131534505E-3</v>
      </c>
      <c r="P84">
        <v>5.987386009901537E-3</v>
      </c>
      <c r="Q84">
        <v>8.6284403669724778E-3</v>
      </c>
      <c r="R84">
        <v>7.6826803868088279E-3</v>
      </c>
    </row>
    <row r="85" spans="2:18">
      <c r="B85" t="s">
        <v>360</v>
      </c>
      <c r="C85" t="s">
        <v>799</v>
      </c>
      <c r="D85" t="s">
        <v>799</v>
      </c>
      <c r="E85" t="s">
        <v>799</v>
      </c>
      <c r="F85" t="s">
        <v>799</v>
      </c>
      <c r="G85" t="s">
        <v>799</v>
      </c>
      <c r="H85" t="s">
        <v>799</v>
      </c>
      <c r="I85" t="s">
        <v>799</v>
      </c>
      <c r="J85">
        <v>6.1699999999999998E-2</v>
      </c>
      <c r="K85">
        <v>6.3574199999999997E-2</v>
      </c>
      <c r="L85">
        <v>5.6426460360395843E-2</v>
      </c>
      <c r="M85">
        <v>6.2094961435095908E-2</v>
      </c>
      <c r="N85">
        <v>4.6011461977024243E-2</v>
      </c>
      <c r="O85">
        <v>4.8632414333635951E-2</v>
      </c>
      <c r="P85">
        <v>4.6824429051794063E-2</v>
      </c>
      <c r="Q85">
        <v>7.9525458715596339E-2</v>
      </c>
      <c r="R85">
        <v>7.0808704231754685E-2</v>
      </c>
    </row>
    <row r="86" spans="2:18">
      <c r="B86" t="s">
        <v>790</v>
      </c>
      <c r="C86" t="s">
        <v>799</v>
      </c>
      <c r="D86" t="s">
        <v>799</v>
      </c>
      <c r="E86" t="s">
        <v>799</v>
      </c>
      <c r="F86" t="s">
        <v>799</v>
      </c>
      <c r="G86" t="s">
        <v>799</v>
      </c>
      <c r="H86" t="s">
        <v>799</v>
      </c>
      <c r="I86" t="s">
        <v>799</v>
      </c>
      <c r="J86" t="s">
        <v>799</v>
      </c>
      <c r="K86" t="s">
        <v>799</v>
      </c>
      <c r="L86" t="s">
        <v>799</v>
      </c>
      <c r="M86" t="s">
        <v>799</v>
      </c>
      <c r="N86" t="s">
        <v>799</v>
      </c>
      <c r="O86">
        <v>7.9565818860604404E-2</v>
      </c>
      <c r="P86">
        <v>7.6607836383099148E-2</v>
      </c>
      <c r="Q86">
        <v>0.12238004587155965</v>
      </c>
      <c r="R86">
        <v>0.10896601681957188</v>
      </c>
    </row>
    <row r="87" spans="2:18">
      <c r="B87" t="s">
        <v>407</v>
      </c>
      <c r="C87">
        <v>1.7500000000000002E-2</v>
      </c>
      <c r="D87">
        <v>0.02</v>
      </c>
      <c r="E87">
        <v>0.02</v>
      </c>
      <c r="F87">
        <v>0.02</v>
      </c>
      <c r="G87">
        <v>0.02</v>
      </c>
      <c r="H87">
        <v>1.9E-2</v>
      </c>
      <c r="I87">
        <v>1.6E-2</v>
      </c>
      <c r="J87">
        <v>1.35E-2</v>
      </c>
      <c r="K87">
        <v>1.3861260000000002E-2</v>
      </c>
      <c r="L87">
        <v>1.2302818406446965E-2</v>
      </c>
      <c r="M87">
        <v>1.3538737493225832E-2</v>
      </c>
      <c r="N87">
        <v>1.0032007283515124E-2</v>
      </c>
      <c r="O87">
        <v>1.0603460830120627E-2</v>
      </c>
      <c r="P87">
        <v>1.0209260760473134E-2</v>
      </c>
      <c r="Q87">
        <v>1.4668348623853212E-2</v>
      </c>
      <c r="R87">
        <v>1.3060556657575006E-2</v>
      </c>
    </row>
    <row r="88" spans="2:18">
      <c r="B88" t="s">
        <v>380</v>
      </c>
      <c r="C88">
        <v>0.09</v>
      </c>
      <c r="D88">
        <v>5.5E-2</v>
      </c>
      <c r="E88">
        <v>0.04</v>
      </c>
      <c r="F88">
        <v>0.04</v>
      </c>
      <c r="G88">
        <v>0.04</v>
      </c>
      <c r="H88">
        <v>4.4999999999999998E-2</v>
      </c>
      <c r="I88">
        <v>5.5E-2</v>
      </c>
      <c r="J88">
        <v>6.1699999999999998E-2</v>
      </c>
      <c r="K88">
        <v>6.3574199999999997E-2</v>
      </c>
      <c r="L88">
        <v>6.6694226098107226E-2</v>
      </c>
      <c r="M88">
        <v>7.3394208515908457E-2</v>
      </c>
      <c r="N88">
        <v>7.5277768939459352E-2</v>
      </c>
      <c r="O88">
        <v>0.17499999999999999</v>
      </c>
      <c r="P88">
        <v>0.17499999999999999</v>
      </c>
      <c r="Q88">
        <v>0.17499999999999999</v>
      </c>
      <c r="R88">
        <v>0.17499999999999999</v>
      </c>
    </row>
    <row r="89" spans="2:18">
      <c r="B89" t="s">
        <v>392</v>
      </c>
      <c r="C89" t="s">
        <v>799</v>
      </c>
      <c r="D89" t="s">
        <v>799</v>
      </c>
      <c r="E89" t="s">
        <v>799</v>
      </c>
      <c r="F89" t="s">
        <v>799</v>
      </c>
      <c r="G89" t="s">
        <v>799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2:18">
      <c r="B90" t="s">
        <v>401</v>
      </c>
      <c r="C90">
        <v>1.6E-2</v>
      </c>
      <c r="D90">
        <v>1.6E-2</v>
      </c>
      <c r="E90">
        <v>1.5000000000000001E-2</v>
      </c>
      <c r="F90">
        <v>1.4999999999999999E-2</v>
      </c>
      <c r="G90">
        <v>1.4999999999999999E-2</v>
      </c>
      <c r="H90">
        <v>1.6E-2</v>
      </c>
      <c r="I90">
        <v>1.6E-2</v>
      </c>
      <c r="J90">
        <v>1.35E-2</v>
      </c>
      <c r="K90">
        <v>1.3861260000000002E-2</v>
      </c>
      <c r="L90">
        <v>1.2302818406446965E-2</v>
      </c>
      <c r="M90">
        <v>1.3538737493225832E-2</v>
      </c>
      <c r="N90">
        <v>1.0032007283515124E-2</v>
      </c>
      <c r="O90">
        <v>1.0603460830120627E-2</v>
      </c>
      <c r="P90">
        <v>7.2155677555223634E-3</v>
      </c>
      <c r="Q90">
        <v>1.0354128440366973E-2</v>
      </c>
      <c r="R90">
        <v>9.2192164641705932E-3</v>
      </c>
    </row>
    <row r="91" spans="2:18">
      <c r="B91" t="s">
        <v>404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2:18">
      <c r="B92" t="s">
        <v>791</v>
      </c>
      <c r="C92">
        <v>1.2E-2</v>
      </c>
      <c r="D92">
        <v>7.4999999999999997E-3</v>
      </c>
      <c r="E92">
        <v>7.0000000000000001E-3</v>
      </c>
      <c r="F92">
        <v>7.0000000000000001E-3</v>
      </c>
      <c r="G92">
        <v>7.0000000000000001E-3</v>
      </c>
      <c r="H92">
        <v>6.0000000000000001E-3</v>
      </c>
      <c r="I92">
        <v>5.0000000000000001E-3</v>
      </c>
      <c r="J92">
        <v>6.7999999999999996E-3</v>
      </c>
      <c r="K92">
        <v>6.9827399999999994E-3</v>
      </c>
      <c r="L92">
        <v>6.1976604002401993E-3</v>
      </c>
      <c r="M92">
        <v>6.8202662559859444E-3</v>
      </c>
      <c r="N92">
        <v>5.0537179548534828E-3</v>
      </c>
      <c r="O92">
        <v>5.3415930497600151E-3</v>
      </c>
      <c r="P92">
        <v>5.1430110597872171E-3</v>
      </c>
      <c r="Q92">
        <v>7.3341743119266058E-3</v>
      </c>
      <c r="R92">
        <v>6.5302783287875029E-3</v>
      </c>
    </row>
    <row r="93" spans="2:18">
      <c r="B93" t="s">
        <v>792</v>
      </c>
      <c r="C93" t="s">
        <v>799</v>
      </c>
      <c r="D93" t="s">
        <v>799</v>
      </c>
      <c r="E93" t="s">
        <v>799</v>
      </c>
      <c r="F93" t="s">
        <v>799</v>
      </c>
      <c r="G93" t="s">
        <v>799</v>
      </c>
      <c r="H93">
        <v>3.5999999999999997E-2</v>
      </c>
      <c r="I93">
        <v>3.5999999999999997E-2</v>
      </c>
      <c r="J93">
        <v>4.0399999999999998E-2</v>
      </c>
      <c r="K93">
        <v>4.1583780000000001E-2</v>
      </c>
      <c r="L93">
        <v>3.6908455219340892E-2</v>
      </c>
      <c r="M93">
        <v>4.0616212479677498E-2</v>
      </c>
      <c r="N93">
        <v>3.0096021850545371E-2</v>
      </c>
      <c r="O93">
        <v>3.1810382490361881E-2</v>
      </c>
      <c r="P93">
        <v>3.0627782281419401E-2</v>
      </c>
      <c r="Q93">
        <v>4.4005045871559637E-2</v>
      </c>
      <c r="R93">
        <v>3.9181669972725021E-2</v>
      </c>
    </row>
    <row r="94" spans="2:18">
      <c r="B94" t="s">
        <v>473</v>
      </c>
      <c r="C94">
        <v>1.7500000000000002E-2</v>
      </c>
      <c r="D94">
        <v>1.2E-2</v>
      </c>
      <c r="E94">
        <v>1.15E-2</v>
      </c>
      <c r="F94">
        <v>1.15E-2</v>
      </c>
      <c r="G94">
        <v>1.15E-2</v>
      </c>
      <c r="H94">
        <v>1.2E-2</v>
      </c>
      <c r="I94">
        <v>1.2E-2</v>
      </c>
      <c r="J94">
        <v>1.35E-2</v>
      </c>
      <c r="K94">
        <v>1.3861260000000002E-2</v>
      </c>
      <c r="L94">
        <v>1.2302818406446965E-2</v>
      </c>
      <c r="M94">
        <v>1.3538737493225832E-2</v>
      </c>
      <c r="N94">
        <v>1.0032007283515124E-2</v>
      </c>
      <c r="O94">
        <v>1.0603460830120627E-2</v>
      </c>
      <c r="P94">
        <v>1.0209260760473134E-2</v>
      </c>
      <c r="Q94">
        <v>1.4668348623853212E-2</v>
      </c>
      <c r="R94">
        <v>1.3060556657575006E-2</v>
      </c>
    </row>
    <row r="95" spans="2:18">
      <c r="B95" t="s">
        <v>426</v>
      </c>
      <c r="C95" t="s">
        <v>799</v>
      </c>
      <c r="D95" t="s">
        <v>799</v>
      </c>
      <c r="E95" t="s">
        <v>799</v>
      </c>
      <c r="F95" t="s">
        <v>799</v>
      </c>
      <c r="G95" t="s">
        <v>799</v>
      </c>
      <c r="H95" t="s">
        <v>799</v>
      </c>
      <c r="I95" t="s">
        <v>799</v>
      </c>
      <c r="J95" t="s">
        <v>799</v>
      </c>
      <c r="K95" t="s">
        <v>799</v>
      </c>
      <c r="L95" t="s">
        <v>799</v>
      </c>
      <c r="M95">
        <v>6.2094961435095908E-2</v>
      </c>
      <c r="N95">
        <v>4.6011461977024243E-2</v>
      </c>
      <c r="O95">
        <v>5.74819192369697E-2</v>
      </c>
      <c r="P95">
        <v>6.3788689413181762E-2</v>
      </c>
      <c r="Q95">
        <v>9.1749082568807344E-2</v>
      </c>
      <c r="R95">
        <v>8.1692501446400528E-2</v>
      </c>
    </row>
    <row r="96" spans="2:18">
      <c r="B96" t="s">
        <v>437</v>
      </c>
      <c r="C96" t="s">
        <v>799</v>
      </c>
      <c r="D96" t="s">
        <v>799</v>
      </c>
      <c r="E96" t="s">
        <v>799</v>
      </c>
      <c r="F96" t="s">
        <v>799</v>
      </c>
      <c r="G96" t="s">
        <v>799</v>
      </c>
      <c r="H96" t="s">
        <v>799</v>
      </c>
      <c r="I96" t="s">
        <v>799</v>
      </c>
      <c r="J96" t="s">
        <v>799</v>
      </c>
      <c r="K96" t="s">
        <v>799</v>
      </c>
      <c r="L96" t="s">
        <v>799</v>
      </c>
      <c r="M96" t="s">
        <v>799</v>
      </c>
      <c r="N96">
        <v>5.4384039484318816E-2</v>
      </c>
      <c r="O96">
        <v>6.6251698870904069E-2</v>
      </c>
      <c r="P96">
        <v>6.3788689413181762E-2</v>
      </c>
      <c r="Q96">
        <v>0.11015642201834862</v>
      </c>
      <c r="R96">
        <v>9.8082219604926024E-2</v>
      </c>
    </row>
    <row r="97" spans="2:18">
      <c r="B97" t="s">
        <v>440</v>
      </c>
      <c r="C97">
        <v>1.4E-2</v>
      </c>
      <c r="D97">
        <v>8.9999999999999993E-3</v>
      </c>
      <c r="E97">
        <v>8.5000000000000006E-3</v>
      </c>
      <c r="F97">
        <v>0.01</v>
      </c>
      <c r="G97">
        <v>1.15E-2</v>
      </c>
      <c r="H97">
        <v>1.2E-2</v>
      </c>
      <c r="I97">
        <v>1.2E-2</v>
      </c>
      <c r="J97">
        <v>1.35E-2</v>
      </c>
      <c r="K97">
        <v>1.3861260000000002E-2</v>
      </c>
      <c r="L97">
        <v>1.2302818406446965E-2</v>
      </c>
      <c r="M97">
        <v>1.3538737493225832E-2</v>
      </c>
      <c r="N97">
        <v>7.0902908620332442E-3</v>
      </c>
      <c r="O97">
        <v>7.4941753235439005E-3</v>
      </c>
      <c r="P97">
        <v>7.2155677555223634E-3</v>
      </c>
      <c r="Q97">
        <v>1.0354128440366973E-2</v>
      </c>
      <c r="R97">
        <v>9.2192164641705932E-3</v>
      </c>
    </row>
    <row r="98" spans="2:18">
      <c r="B98" t="s">
        <v>467</v>
      </c>
      <c r="C98">
        <v>2.2499999999999999E-2</v>
      </c>
      <c r="D98">
        <v>1.7999999999999999E-2</v>
      </c>
      <c r="E98">
        <v>1.7500000000000002E-2</v>
      </c>
      <c r="F98">
        <v>1.7500000000000002E-2</v>
      </c>
      <c r="G98">
        <v>1.4999999999999999E-2</v>
      </c>
      <c r="H98">
        <v>1.6E-2</v>
      </c>
      <c r="I98">
        <v>1.6E-2</v>
      </c>
      <c r="J98">
        <v>1.7899999999999999E-2</v>
      </c>
      <c r="K98">
        <v>1.8446940000000002E-2</v>
      </c>
      <c r="L98">
        <v>1.637292374391814E-2</v>
      </c>
      <c r="M98">
        <v>1.8017718318052423E-2</v>
      </c>
      <c r="N98">
        <v>1.3350866835956217E-2</v>
      </c>
      <c r="O98">
        <v>1.4111372683694367E-2</v>
      </c>
      <c r="P98">
        <v>1.6196646770374669E-2</v>
      </c>
      <c r="Q98">
        <v>2.6891972477064225E-2</v>
      </c>
      <c r="R98">
        <v>2.3944353872220846E-2</v>
      </c>
    </row>
    <row r="99" spans="2:18">
      <c r="B99" t="s">
        <v>429</v>
      </c>
      <c r="C99">
        <v>0.02</v>
      </c>
      <c r="D99">
        <v>1.6E-2</v>
      </c>
      <c r="E99">
        <v>1.5000000000000001E-2</v>
      </c>
      <c r="F99">
        <v>1.4999999999999999E-2</v>
      </c>
      <c r="G99">
        <v>1.4999999999999999E-2</v>
      </c>
      <c r="H99">
        <v>1.6E-2</v>
      </c>
      <c r="I99">
        <v>1.2E-2</v>
      </c>
      <c r="J99">
        <v>1.35E-2</v>
      </c>
      <c r="K99">
        <v>1.3861260000000002E-2</v>
      </c>
      <c r="L99">
        <v>1.2302818406446965E-2</v>
      </c>
      <c r="M99">
        <v>1.3538737493225832E-2</v>
      </c>
      <c r="N99">
        <v>1.0032007283515124E-2</v>
      </c>
      <c r="O99">
        <v>1.4111372683694367E-2</v>
      </c>
      <c r="P99">
        <v>1.358676056093041E-2</v>
      </c>
      <c r="Q99">
        <v>2.3296788990825688E-2</v>
      </c>
      <c r="R99">
        <v>2.0743237044383835E-2</v>
      </c>
    </row>
    <row r="100" spans="2:18">
      <c r="B100" t="s">
        <v>772</v>
      </c>
      <c r="C100">
        <v>0.12</v>
      </c>
      <c r="D100">
        <v>7.4999999999999997E-2</v>
      </c>
      <c r="E100">
        <v>6.0000000000000005E-2</v>
      </c>
      <c r="F100">
        <v>0.06</v>
      </c>
      <c r="G100">
        <v>0.06</v>
      </c>
      <c r="H100">
        <v>6.5000000000000002E-2</v>
      </c>
      <c r="I100">
        <v>6.5000000000000002E-2</v>
      </c>
      <c r="J100">
        <v>7.2900000000000006E-2</v>
      </c>
      <c r="K100">
        <v>7.5142619999999993E-2</v>
      </c>
      <c r="L100">
        <v>6.6694226098107226E-2</v>
      </c>
      <c r="M100">
        <v>7.3394208515908457E-2</v>
      </c>
      <c r="N100">
        <v>5.4384039484318816E-2</v>
      </c>
      <c r="O100">
        <v>5.74819192369697E-2</v>
      </c>
      <c r="P100">
        <v>5.5344939912038545E-2</v>
      </c>
      <c r="Q100">
        <v>7.9525458715596339E-2</v>
      </c>
      <c r="R100">
        <v>7.0808704231754685E-2</v>
      </c>
    </row>
    <row r="101" spans="2:18">
      <c r="B101" t="s">
        <v>449</v>
      </c>
      <c r="C101">
        <v>6.5000000000000002E-2</v>
      </c>
      <c r="D101">
        <v>4.4999999999999998E-2</v>
      </c>
      <c r="E101">
        <v>0.04</v>
      </c>
      <c r="F101">
        <v>0.04</v>
      </c>
      <c r="G101">
        <v>0.04</v>
      </c>
      <c r="H101">
        <v>4.4999999999999998E-2</v>
      </c>
      <c r="I101">
        <v>5.5E-2</v>
      </c>
      <c r="J101">
        <v>6.1699999999999998E-2</v>
      </c>
      <c r="K101">
        <v>8.6606820000000001E-2</v>
      </c>
      <c r="L101">
        <v>7.6869489441785163E-2</v>
      </c>
      <c r="M101">
        <v>7.3394208515908457E-2</v>
      </c>
      <c r="N101">
        <v>5.4384039484318816E-2</v>
      </c>
      <c r="O101">
        <v>5.74819192369697E-2</v>
      </c>
      <c r="P101">
        <v>5.5344939912038545E-2</v>
      </c>
      <c r="Q101">
        <v>7.9525458715596339E-2</v>
      </c>
      <c r="R101">
        <v>7.0808704231754685E-2</v>
      </c>
    </row>
    <row r="102" spans="2:18">
      <c r="B102" t="s">
        <v>446</v>
      </c>
      <c r="C102">
        <v>0.04</v>
      </c>
      <c r="D102">
        <v>3.5000000000000003E-2</v>
      </c>
      <c r="E102">
        <v>3.2500000000000001E-2</v>
      </c>
      <c r="F102">
        <v>3.2500000000000001E-2</v>
      </c>
      <c r="G102">
        <v>3.2500000000000001E-2</v>
      </c>
      <c r="H102">
        <v>3.5999999999999997E-2</v>
      </c>
      <c r="I102">
        <v>3.5999999999999997E-2</v>
      </c>
      <c r="J102">
        <v>4.0399999999999998E-2</v>
      </c>
      <c r="K102">
        <v>5.2005780000000001E-2</v>
      </c>
      <c r="L102">
        <v>4.6158694622684474E-2</v>
      </c>
      <c r="M102">
        <v>5.0795714354283386E-2</v>
      </c>
      <c r="N102">
        <v>3.7638884469729676E-2</v>
      </c>
      <c r="O102">
        <v>3.9782909430302202E-2</v>
      </c>
      <c r="P102">
        <v>3.8303918191549574E-2</v>
      </c>
      <c r="Q102">
        <v>5.5078211009174309E-2</v>
      </c>
      <c r="R102">
        <v>4.9041109802463012E-2</v>
      </c>
    </row>
    <row r="103" spans="2:18">
      <c r="B103" t="s">
        <v>461</v>
      </c>
      <c r="C103" t="s">
        <v>799</v>
      </c>
      <c r="D103" t="s">
        <v>799</v>
      </c>
      <c r="E103" t="s">
        <v>799</v>
      </c>
      <c r="F103" t="s">
        <v>799</v>
      </c>
      <c r="G103" t="s">
        <v>799</v>
      </c>
      <c r="H103">
        <v>2.1999999999999999E-2</v>
      </c>
      <c r="I103">
        <v>2.1999999999999999E-2</v>
      </c>
      <c r="J103">
        <v>2.47E-2</v>
      </c>
      <c r="K103">
        <v>2.542968E-2</v>
      </c>
      <c r="L103">
        <v>2.2570584144158336E-2</v>
      </c>
      <c r="M103">
        <v>2.4837984574038366E-2</v>
      </c>
      <c r="N103">
        <v>1.8404584790809697E-2</v>
      </c>
      <c r="O103">
        <v>1.9452965733454383E-2</v>
      </c>
      <c r="P103">
        <v>1.8729771620717626E-2</v>
      </c>
      <c r="Q103">
        <v>2.6891972477064225E-2</v>
      </c>
      <c r="R103">
        <v>2.3944353872220846E-2</v>
      </c>
    </row>
    <row r="104" spans="2:18">
      <c r="B104" t="s">
        <v>415</v>
      </c>
      <c r="C104">
        <v>0.03</v>
      </c>
      <c r="D104">
        <v>2.5000000000000001E-2</v>
      </c>
      <c r="E104">
        <v>2.4E-2</v>
      </c>
      <c r="F104">
        <v>2.4E-2</v>
      </c>
      <c r="G104">
        <v>2.4E-2</v>
      </c>
      <c r="H104">
        <v>2.5000000000000001E-2</v>
      </c>
      <c r="I104">
        <v>2.5000000000000001E-2</v>
      </c>
      <c r="J104">
        <v>2.8000000000000001E-2</v>
      </c>
      <c r="K104">
        <v>2.8868939999999999E-2</v>
      </c>
      <c r="L104">
        <v>2.5623163147261721E-2</v>
      </c>
      <c r="M104">
        <v>2.8197220192658311E-2</v>
      </c>
      <c r="N104">
        <v>2.0893729455140522E-2</v>
      </c>
      <c r="O104">
        <v>2.208389962363469E-2</v>
      </c>
      <c r="P104">
        <v>2.1262896471060586E-2</v>
      </c>
      <c r="Q104">
        <v>3.0630963302752296E-2</v>
      </c>
      <c r="R104">
        <v>2.7273515373171343E-2</v>
      </c>
    </row>
    <row r="105" spans="2:18">
      <c r="B105" t="s">
        <v>455</v>
      </c>
      <c r="C105" t="s">
        <v>799</v>
      </c>
      <c r="D105" t="s">
        <v>799</v>
      </c>
      <c r="E105" t="s">
        <v>799</v>
      </c>
      <c r="F105" t="s">
        <v>799</v>
      </c>
      <c r="G105" t="s">
        <v>799</v>
      </c>
      <c r="H105">
        <v>4.4999999999999998E-2</v>
      </c>
      <c r="I105">
        <v>4.4999999999999998E-2</v>
      </c>
      <c r="J105">
        <v>8.4099999999999994E-2</v>
      </c>
      <c r="K105">
        <v>0.11547576</v>
      </c>
      <c r="L105">
        <v>0.10249265258904688</v>
      </c>
      <c r="M105">
        <v>0.11278888077063325</v>
      </c>
      <c r="N105">
        <v>7.5277768939459352E-2</v>
      </c>
      <c r="O105">
        <v>7.9565818860604404E-2</v>
      </c>
      <c r="P105">
        <v>7.6607836383099148E-2</v>
      </c>
      <c r="Q105">
        <v>0.11015642201834862</v>
      </c>
      <c r="R105">
        <v>9.8082219604926024E-2</v>
      </c>
    </row>
    <row r="106" spans="2:18">
      <c r="B106" t="s">
        <v>478</v>
      </c>
      <c r="C106" t="s">
        <v>799</v>
      </c>
      <c r="D106" t="s">
        <v>799</v>
      </c>
      <c r="E106" t="s">
        <v>799</v>
      </c>
      <c r="F106">
        <v>0.02</v>
      </c>
      <c r="G106">
        <v>0.02</v>
      </c>
      <c r="H106">
        <v>2.1999999999999999E-2</v>
      </c>
      <c r="I106">
        <v>2.1999999999999999E-2</v>
      </c>
      <c r="J106">
        <v>2.47E-2</v>
      </c>
      <c r="K106">
        <v>2.542968E-2</v>
      </c>
      <c r="L106">
        <v>2.5623163147261721E-2</v>
      </c>
      <c r="M106">
        <v>2.8197220192658311E-2</v>
      </c>
      <c r="N106">
        <v>2.5117732521883724E-2</v>
      </c>
      <c r="O106">
        <v>3.1810382490361881E-2</v>
      </c>
      <c r="P106">
        <v>3.0627782281419401E-2</v>
      </c>
      <c r="Q106">
        <v>5.5078211009174309E-2</v>
      </c>
      <c r="R106">
        <v>4.9041109802463012E-2</v>
      </c>
    </row>
    <row r="107" spans="2:18">
      <c r="B107" t="s">
        <v>499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2:18">
      <c r="B108" t="s">
        <v>510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2:18">
      <c r="B109" t="s">
        <v>493</v>
      </c>
      <c r="C109">
        <v>0.09</v>
      </c>
      <c r="D109">
        <v>6.5000000000000002E-2</v>
      </c>
      <c r="E109">
        <v>6.0000000000000005E-2</v>
      </c>
      <c r="F109">
        <v>0.06</v>
      </c>
      <c r="G109">
        <v>0.06</v>
      </c>
      <c r="H109">
        <v>6.5000000000000002E-2</v>
      </c>
      <c r="I109">
        <v>6.5000000000000002E-2</v>
      </c>
      <c r="J109">
        <v>6.1699999999999998E-2</v>
      </c>
      <c r="K109">
        <v>6.3574199999999997E-2</v>
      </c>
      <c r="L109">
        <v>5.6426460360395843E-2</v>
      </c>
      <c r="M109">
        <v>6.2094961435095908E-2</v>
      </c>
      <c r="N109">
        <v>4.6011461977024243E-2</v>
      </c>
      <c r="O109">
        <v>5.74819192369697E-2</v>
      </c>
      <c r="P109">
        <v>5.5344939912038545E-2</v>
      </c>
      <c r="Q109">
        <v>7.9525458715596339E-2</v>
      </c>
      <c r="R109">
        <v>7.0808704231754685E-2</v>
      </c>
    </row>
    <row r="110" spans="2:18">
      <c r="B110" t="s">
        <v>484</v>
      </c>
      <c r="C110" t="s">
        <v>799</v>
      </c>
      <c r="D110" t="s">
        <v>799</v>
      </c>
      <c r="E110" t="s">
        <v>799</v>
      </c>
      <c r="F110" t="s">
        <v>799</v>
      </c>
      <c r="G110" t="s">
        <v>799</v>
      </c>
      <c r="H110" t="s">
        <v>799</v>
      </c>
      <c r="I110" t="s">
        <v>799</v>
      </c>
      <c r="J110" t="s">
        <v>799</v>
      </c>
      <c r="K110" t="s">
        <v>799</v>
      </c>
      <c r="L110" t="s">
        <v>799</v>
      </c>
      <c r="M110" t="s">
        <v>799</v>
      </c>
      <c r="N110">
        <v>5.4384039484318816E-2</v>
      </c>
      <c r="O110">
        <v>5.74819192369697E-2</v>
      </c>
      <c r="P110">
        <v>5.5344939912038545E-2</v>
      </c>
      <c r="Q110">
        <v>7.9525458715596339E-2</v>
      </c>
      <c r="R110">
        <v>9.8082219604926024E-2</v>
      </c>
    </row>
    <row r="111" spans="2:18">
      <c r="B111" t="s">
        <v>490</v>
      </c>
      <c r="C111" t="s">
        <v>799</v>
      </c>
      <c r="D111" t="s">
        <v>799</v>
      </c>
      <c r="E111" t="s">
        <v>799</v>
      </c>
      <c r="F111" t="s">
        <v>799</v>
      </c>
      <c r="G111">
        <v>3.2500000000000001E-2</v>
      </c>
      <c r="H111">
        <v>3.5999999999999997E-2</v>
      </c>
      <c r="I111">
        <v>3.5999999999999997E-2</v>
      </c>
      <c r="J111">
        <v>5.0500000000000003E-2</v>
      </c>
      <c r="K111">
        <v>5.2005780000000001E-2</v>
      </c>
      <c r="L111">
        <v>5.6426460360395843E-2</v>
      </c>
      <c r="M111">
        <v>6.2094961435095908E-2</v>
      </c>
      <c r="N111">
        <v>4.6011461977024243E-2</v>
      </c>
      <c r="O111">
        <v>4.8632414333635951E-2</v>
      </c>
      <c r="P111">
        <v>4.6824429051794063E-2</v>
      </c>
      <c r="Q111">
        <v>7.9525458715596339E-2</v>
      </c>
      <c r="R111">
        <v>8.1692501446400528E-2</v>
      </c>
    </row>
    <row r="112" spans="2:18">
      <c r="B112" t="s">
        <v>501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2:18">
      <c r="B113" t="s">
        <v>513</v>
      </c>
      <c r="C113">
        <v>1.6E-2</v>
      </c>
      <c r="D113">
        <v>1.0500000000000001E-2</v>
      </c>
      <c r="E113">
        <v>8.5000000000000006E-3</v>
      </c>
      <c r="F113">
        <v>8.5000000000000006E-3</v>
      </c>
      <c r="G113">
        <v>8.5000000000000006E-3</v>
      </c>
      <c r="H113">
        <v>7.0000000000000001E-3</v>
      </c>
      <c r="I113">
        <v>7.0000000000000001E-3</v>
      </c>
      <c r="J113">
        <v>1.7899999999999999E-2</v>
      </c>
      <c r="K113">
        <v>1.8446940000000002E-2</v>
      </c>
      <c r="L113">
        <v>1.9518005141054957E-2</v>
      </c>
      <c r="M113">
        <v>2.4837984574038366E-2</v>
      </c>
      <c r="N113">
        <v>2.0893729455140522E-2</v>
      </c>
      <c r="O113">
        <v>3.1810382490361881E-2</v>
      </c>
      <c r="P113">
        <v>3.0627782281419401E-2</v>
      </c>
      <c r="Q113">
        <v>4.4005045871559637E-2</v>
      </c>
      <c r="R113">
        <v>2.7273515373171343E-2</v>
      </c>
    </row>
    <row r="114" spans="2:18">
      <c r="B114" t="s">
        <v>516</v>
      </c>
      <c r="C114">
        <v>0.09</v>
      </c>
      <c r="D114">
        <v>6.5000000000000002E-2</v>
      </c>
      <c r="E114">
        <v>6.0000000000000005E-2</v>
      </c>
      <c r="F114">
        <v>0.06</v>
      </c>
      <c r="G114">
        <v>7.0000000000000007E-2</v>
      </c>
      <c r="H114">
        <v>7.4999999999999997E-2</v>
      </c>
      <c r="I114">
        <v>7.4999999999999997E-2</v>
      </c>
      <c r="J114">
        <v>7.2900000000000006E-2</v>
      </c>
      <c r="K114">
        <v>7.5142619999999993E-2</v>
      </c>
      <c r="L114">
        <v>6.6694226098107226E-2</v>
      </c>
      <c r="M114">
        <v>7.3394208515908457E-2</v>
      </c>
      <c r="N114">
        <v>5.4384039484318816E-2</v>
      </c>
      <c r="O114">
        <v>5.74819192369697E-2</v>
      </c>
      <c r="P114">
        <v>5.5344939912038545E-2</v>
      </c>
      <c r="Q114">
        <v>9.1749082568807344E-2</v>
      </c>
      <c r="R114">
        <v>0.10896601681957188</v>
      </c>
    </row>
    <row r="115" spans="2:18">
      <c r="B115" t="s">
        <v>519</v>
      </c>
      <c r="C115">
        <v>0.03</v>
      </c>
      <c r="D115">
        <v>2.5000000000000001E-2</v>
      </c>
      <c r="E115">
        <v>0.02</v>
      </c>
      <c r="F115">
        <v>0.02</v>
      </c>
      <c r="G115">
        <v>1.7500000000000002E-2</v>
      </c>
      <c r="H115">
        <v>1.9E-2</v>
      </c>
      <c r="I115">
        <v>1.9E-2</v>
      </c>
      <c r="J115">
        <v>2.1299999999999999E-2</v>
      </c>
      <c r="K115">
        <v>2.199042E-2</v>
      </c>
      <c r="L115">
        <v>1.9518005141054957E-2</v>
      </c>
      <c r="M115">
        <v>2.147874895541842E-2</v>
      </c>
      <c r="N115">
        <v>1.3350866835956217E-2</v>
      </c>
      <c r="O115">
        <v>1.4111372683694367E-2</v>
      </c>
      <c r="P115">
        <v>1.6196646770374669E-2</v>
      </c>
      <c r="Q115">
        <v>2.3296788990825688E-2</v>
      </c>
      <c r="R115">
        <v>2.0743237044383835E-2</v>
      </c>
    </row>
    <row r="116" spans="2:18">
      <c r="B116" t="s">
        <v>534</v>
      </c>
      <c r="C116">
        <v>6.5000000000000002E-2</v>
      </c>
      <c r="D116">
        <v>4.4999999999999998E-2</v>
      </c>
      <c r="E116">
        <v>0.04</v>
      </c>
      <c r="F116">
        <v>0.04</v>
      </c>
      <c r="G116">
        <v>0.04</v>
      </c>
      <c r="H116">
        <v>4.4999999999999998E-2</v>
      </c>
      <c r="I116">
        <v>4.4999999999999998E-2</v>
      </c>
      <c r="J116">
        <v>6.1699999999999998E-2</v>
      </c>
      <c r="K116">
        <v>6.3574199999999997E-2</v>
      </c>
      <c r="L116">
        <v>5.6426460360395843E-2</v>
      </c>
      <c r="M116">
        <v>6.2094961435095908E-2</v>
      </c>
      <c r="N116">
        <v>4.6011461977024243E-2</v>
      </c>
      <c r="O116">
        <v>4.8632414333635951E-2</v>
      </c>
      <c r="P116">
        <v>4.6824429051794063E-2</v>
      </c>
      <c r="Q116">
        <v>6.7301834862385335E-2</v>
      </c>
      <c r="R116">
        <v>5.9924907017108855E-2</v>
      </c>
    </row>
    <row r="117" spans="2:18">
      <c r="B117" t="s">
        <v>549</v>
      </c>
      <c r="C117">
        <v>0.09</v>
      </c>
      <c r="D117">
        <v>6.5000000000000002E-2</v>
      </c>
      <c r="E117">
        <v>0.04</v>
      </c>
      <c r="F117">
        <v>0.04</v>
      </c>
      <c r="G117">
        <v>0.04</v>
      </c>
      <c r="H117">
        <v>3.5999999999999997E-2</v>
      </c>
      <c r="I117">
        <v>0.03</v>
      </c>
      <c r="J117">
        <v>2.8000000000000001E-2</v>
      </c>
      <c r="K117">
        <v>2.8868939999999999E-2</v>
      </c>
      <c r="L117">
        <v>2.5623163147261721E-2</v>
      </c>
      <c r="M117">
        <v>2.8197220192658311E-2</v>
      </c>
      <c r="N117">
        <v>2.0893729455140522E-2</v>
      </c>
      <c r="O117">
        <v>2.208389962363469E-2</v>
      </c>
      <c r="P117">
        <v>2.1262896471060586E-2</v>
      </c>
      <c r="Q117">
        <v>3.0630963302752296E-2</v>
      </c>
      <c r="R117">
        <v>2.7273515373171343E-2</v>
      </c>
    </row>
    <row r="118" spans="2:18">
      <c r="B118" t="s">
        <v>525</v>
      </c>
      <c r="C118">
        <v>2.5999999999999999E-2</v>
      </c>
      <c r="D118">
        <v>0.02</v>
      </c>
      <c r="E118">
        <v>0.02</v>
      </c>
      <c r="F118">
        <v>0.02</v>
      </c>
      <c r="G118">
        <v>1.7500000000000002E-2</v>
      </c>
      <c r="H118">
        <v>1.9E-2</v>
      </c>
      <c r="I118">
        <v>1.2E-2</v>
      </c>
      <c r="J118">
        <v>1.35E-2</v>
      </c>
      <c r="K118">
        <v>1.3861260000000002E-2</v>
      </c>
      <c r="L118">
        <v>1.2302818406446965E-2</v>
      </c>
      <c r="M118">
        <v>1.3538737493225832E-2</v>
      </c>
      <c r="N118">
        <v>1.0032007283515124E-2</v>
      </c>
      <c r="O118">
        <v>1.0603460830120627E-2</v>
      </c>
      <c r="P118">
        <v>1.358676056093041E-2</v>
      </c>
      <c r="Q118">
        <v>1.9557798165137613E-2</v>
      </c>
      <c r="R118">
        <v>1.7414075543433341E-2</v>
      </c>
    </row>
    <row r="119" spans="2:18">
      <c r="B119" t="s">
        <v>528</v>
      </c>
      <c r="C119">
        <v>6.5000000000000002E-2</v>
      </c>
      <c r="D119">
        <v>3.5000000000000003E-2</v>
      </c>
      <c r="E119">
        <v>3.2500000000000001E-2</v>
      </c>
      <c r="F119">
        <v>2.75E-2</v>
      </c>
      <c r="G119">
        <v>2.4E-2</v>
      </c>
      <c r="H119">
        <v>2.1999999999999999E-2</v>
      </c>
      <c r="I119">
        <v>1.9E-2</v>
      </c>
      <c r="J119">
        <v>2.1299999999999999E-2</v>
      </c>
      <c r="K119">
        <v>2.199042E-2</v>
      </c>
      <c r="L119">
        <v>1.9518005141054957E-2</v>
      </c>
      <c r="M119">
        <v>2.147874895541842E-2</v>
      </c>
      <c r="N119">
        <v>1.5915440126478879E-2</v>
      </c>
      <c r="O119">
        <v>1.6822031843274077E-2</v>
      </c>
      <c r="P119">
        <v>1.6196646770374669E-2</v>
      </c>
      <c r="Q119">
        <v>2.3296788990825688E-2</v>
      </c>
      <c r="R119">
        <v>2.0743237044383835E-2</v>
      </c>
    </row>
    <row r="120" spans="2:18">
      <c r="B120" t="s">
        <v>537</v>
      </c>
      <c r="C120">
        <v>1.6E-2</v>
      </c>
      <c r="D120">
        <v>1.0500000000000001E-2</v>
      </c>
      <c r="E120">
        <v>0.01</v>
      </c>
      <c r="F120">
        <v>0.01</v>
      </c>
      <c r="G120">
        <v>0.01</v>
      </c>
      <c r="H120">
        <v>8.5000000000000006E-3</v>
      </c>
      <c r="I120">
        <v>8.5000000000000006E-3</v>
      </c>
      <c r="J120">
        <v>9.4999999999999998E-3</v>
      </c>
      <c r="K120">
        <v>9.7966800000000003E-3</v>
      </c>
      <c r="L120">
        <v>8.6952250391429675E-3</v>
      </c>
      <c r="M120">
        <v>9.5687317621295353E-3</v>
      </c>
      <c r="N120">
        <v>7.0902908620332442E-3</v>
      </c>
      <c r="O120">
        <v>7.4941753235439005E-3</v>
      </c>
      <c r="P120">
        <v>7.2155677555223634E-3</v>
      </c>
      <c r="Q120">
        <v>1.0354128440366973E-2</v>
      </c>
      <c r="R120">
        <v>9.2192164641705932E-3</v>
      </c>
    </row>
    <row r="121" spans="2:18">
      <c r="B121" t="s">
        <v>546</v>
      </c>
      <c r="C121">
        <v>0.01</v>
      </c>
      <c r="D121">
        <v>6.0000000000000001E-3</v>
      </c>
      <c r="E121">
        <v>8.5000000000000006E-3</v>
      </c>
      <c r="F121">
        <v>2.75E-2</v>
      </c>
      <c r="G121">
        <v>3.2500000000000001E-2</v>
      </c>
      <c r="H121">
        <v>3.5999999999999997E-2</v>
      </c>
      <c r="I121">
        <v>2.5000000000000001E-2</v>
      </c>
      <c r="J121">
        <v>2.8000000000000001E-2</v>
      </c>
      <c r="K121">
        <v>2.8868939999999999E-2</v>
      </c>
      <c r="L121">
        <v>2.5623163147261721E-2</v>
      </c>
      <c r="M121">
        <v>2.4837984574038366E-2</v>
      </c>
      <c r="N121">
        <v>1.8404584790809697E-2</v>
      </c>
      <c r="O121">
        <v>1.9452965733454383E-2</v>
      </c>
      <c r="P121">
        <v>1.6196646770374669E-2</v>
      </c>
      <c r="Q121">
        <v>2.3296788990825688E-2</v>
      </c>
      <c r="R121">
        <v>1.3060556657575006E-2</v>
      </c>
    </row>
    <row r="122" spans="2:18">
      <c r="B122" t="s">
        <v>558</v>
      </c>
      <c r="C122">
        <v>0.01</v>
      </c>
      <c r="D122">
        <v>6.0000000000000001E-3</v>
      </c>
      <c r="E122">
        <v>5.0000000000000001E-3</v>
      </c>
      <c r="F122">
        <v>5.0000000000000001E-3</v>
      </c>
      <c r="G122">
        <v>5.0000000000000001E-3</v>
      </c>
      <c r="H122">
        <v>5.0000000000000001E-3</v>
      </c>
      <c r="I122">
        <v>5.0000000000000001E-3</v>
      </c>
      <c r="J122">
        <v>5.5999999999999999E-3</v>
      </c>
      <c r="K122">
        <v>5.7320999999999995E-3</v>
      </c>
      <c r="L122">
        <v>6.1976604002401993E-3</v>
      </c>
      <c r="M122">
        <v>6.8202662559859444E-3</v>
      </c>
      <c r="N122">
        <v>5.0537179548534828E-3</v>
      </c>
      <c r="O122">
        <v>5.3415930497600151E-3</v>
      </c>
      <c r="P122">
        <v>5.1430110597872171E-3</v>
      </c>
      <c r="Q122">
        <v>7.3341743119266058E-3</v>
      </c>
      <c r="R122">
        <v>6.5302783287875029E-3</v>
      </c>
    </row>
    <row r="123" spans="2:18">
      <c r="B123" t="s">
        <v>793</v>
      </c>
      <c r="C123" t="s">
        <v>799</v>
      </c>
      <c r="D123" t="s">
        <v>799</v>
      </c>
      <c r="E123" t="s">
        <v>799</v>
      </c>
      <c r="F123" t="s">
        <v>799</v>
      </c>
      <c r="G123" t="s">
        <v>799</v>
      </c>
      <c r="H123" t="s">
        <v>799</v>
      </c>
      <c r="I123">
        <v>8.5000000000000006E-3</v>
      </c>
      <c r="J123">
        <v>9.4999999999999998E-3</v>
      </c>
      <c r="K123">
        <v>9.7966800000000003E-3</v>
      </c>
      <c r="L123">
        <v>8.6952250391429675E-3</v>
      </c>
      <c r="M123">
        <v>9.5687317621295353E-3</v>
      </c>
      <c r="N123">
        <v>6.2681188365421567E-2</v>
      </c>
      <c r="O123">
        <v>0</v>
      </c>
      <c r="P123">
        <v>1.0209260760473134E-2</v>
      </c>
      <c r="Q123">
        <v>1.4668348623853212E-2</v>
      </c>
      <c r="R123">
        <v>1.3060556657575006E-2</v>
      </c>
    </row>
    <row r="124" spans="2:18">
      <c r="B124" t="s">
        <v>564</v>
      </c>
      <c r="C124">
        <v>2.5999999999999999E-2</v>
      </c>
      <c r="D124">
        <v>0.02</v>
      </c>
      <c r="E124">
        <v>0.02</v>
      </c>
      <c r="F124">
        <v>0.02</v>
      </c>
      <c r="G124">
        <v>0.02</v>
      </c>
      <c r="H124">
        <v>2.1999999999999999E-2</v>
      </c>
      <c r="I124">
        <v>2.1999999999999999E-2</v>
      </c>
      <c r="J124">
        <v>2.47E-2</v>
      </c>
      <c r="K124">
        <v>2.542968E-2</v>
      </c>
      <c r="L124">
        <v>2.2570584144158336E-2</v>
      </c>
      <c r="M124">
        <v>2.4837984574038366E-2</v>
      </c>
      <c r="N124">
        <v>1.8404584790809697E-2</v>
      </c>
      <c r="O124">
        <v>1.9452965733454383E-2</v>
      </c>
      <c r="P124">
        <v>1.8729771620717626E-2</v>
      </c>
      <c r="Q124">
        <v>2.6891972477064225E-2</v>
      </c>
      <c r="R124">
        <v>2.3944353872220846E-2</v>
      </c>
    </row>
    <row r="125" spans="2:18">
      <c r="B125" t="s">
        <v>798</v>
      </c>
      <c r="C125">
        <v>0.02</v>
      </c>
      <c r="D125">
        <v>1.6E-2</v>
      </c>
      <c r="E125">
        <v>1.5000000000000001E-2</v>
      </c>
      <c r="F125">
        <v>1.4999999999999999E-2</v>
      </c>
      <c r="G125">
        <v>1.4999999999999999E-2</v>
      </c>
      <c r="H125">
        <v>1.6E-2</v>
      </c>
      <c r="I125">
        <v>1.9E-2</v>
      </c>
      <c r="J125">
        <v>2.8000000000000001E-2</v>
      </c>
      <c r="K125">
        <v>2.8868939999999999E-2</v>
      </c>
      <c r="L125">
        <v>2.5623163147261721E-2</v>
      </c>
      <c r="M125">
        <v>2.8197220192658311E-2</v>
      </c>
      <c r="N125">
        <v>1.8404584790809697E-2</v>
      </c>
      <c r="O125">
        <v>1.9452965733454383E-2</v>
      </c>
      <c r="P125">
        <v>1.8729771620717626E-2</v>
      </c>
      <c r="Q125">
        <v>9.1749082568807344E-2</v>
      </c>
      <c r="R125" t="s">
        <v>799</v>
      </c>
    </row>
    <row r="126" spans="2:18">
      <c r="B126" t="s">
        <v>569</v>
      </c>
      <c r="C126" t="s">
        <v>799</v>
      </c>
      <c r="D126" t="s">
        <v>799</v>
      </c>
      <c r="E126" t="s">
        <v>799</v>
      </c>
      <c r="F126" t="s">
        <v>799</v>
      </c>
      <c r="G126" t="s">
        <v>799</v>
      </c>
      <c r="H126">
        <v>5.5E-2</v>
      </c>
      <c r="I126">
        <v>5.5E-2</v>
      </c>
      <c r="J126">
        <v>5.0500000000000003E-2</v>
      </c>
      <c r="K126">
        <v>6.3574199999999997E-2</v>
      </c>
      <c r="L126">
        <v>5.6426460360395843E-2</v>
      </c>
      <c r="M126">
        <v>6.2094961435095908E-2</v>
      </c>
      <c r="N126">
        <v>4.6011461977024243E-2</v>
      </c>
      <c r="O126">
        <v>4.8632414333635951E-2</v>
      </c>
      <c r="P126">
        <v>4.6824429051794063E-2</v>
      </c>
      <c r="Q126">
        <v>6.7301834862385335E-2</v>
      </c>
      <c r="R126">
        <v>5.9924907017108855E-2</v>
      </c>
    </row>
    <row r="127" spans="2:18">
      <c r="B127" t="s">
        <v>571</v>
      </c>
      <c r="C127">
        <v>1.4E-2</v>
      </c>
      <c r="D127">
        <v>8.9999999999999993E-3</v>
      </c>
      <c r="E127">
        <v>7.0000000000000001E-3</v>
      </c>
      <c r="F127">
        <v>7.0000000000000001E-3</v>
      </c>
      <c r="G127">
        <v>7.0000000000000001E-3</v>
      </c>
      <c r="H127">
        <v>6.0000000000000001E-3</v>
      </c>
      <c r="I127">
        <v>6.0000000000000001E-3</v>
      </c>
      <c r="J127">
        <v>7.9000000000000008E-3</v>
      </c>
      <c r="K127">
        <v>8.1291599999999999E-3</v>
      </c>
      <c r="L127">
        <v>7.2151867346079935E-3</v>
      </c>
      <c r="M127">
        <v>7.9400114621925918E-3</v>
      </c>
      <c r="N127">
        <v>5.8834328429637562E-3</v>
      </c>
      <c r="O127">
        <v>6.2185710131534505E-3</v>
      </c>
      <c r="P127">
        <v>5.987386009901537E-3</v>
      </c>
      <c r="Q127">
        <v>8.6284403669724778E-3</v>
      </c>
      <c r="R127">
        <v>7.6826803868088279E-3</v>
      </c>
    </row>
    <row r="128" spans="2:18">
      <c r="B128" t="s">
        <v>577</v>
      </c>
      <c r="C128" t="s">
        <v>799</v>
      </c>
      <c r="D128" t="s">
        <v>799</v>
      </c>
      <c r="E128" t="s">
        <v>799</v>
      </c>
      <c r="F128">
        <v>0.04</v>
      </c>
      <c r="G128">
        <v>0.04</v>
      </c>
      <c r="H128">
        <v>4.4999999999999998E-2</v>
      </c>
      <c r="I128">
        <v>4.4999999999999998E-2</v>
      </c>
      <c r="J128">
        <v>5.0500000000000003E-2</v>
      </c>
      <c r="K128">
        <v>5.2005780000000001E-2</v>
      </c>
      <c r="L128">
        <v>3.6908455219340892E-2</v>
      </c>
      <c r="M128">
        <v>4.0616212479677498E-2</v>
      </c>
      <c r="N128">
        <v>3.0096021850545371E-2</v>
      </c>
      <c r="O128">
        <v>3.1810382490361881E-2</v>
      </c>
      <c r="P128">
        <v>3.0627782281419401E-2</v>
      </c>
      <c r="Q128">
        <v>4.4005045871559637E-2</v>
      </c>
      <c r="R128">
        <v>3.9181669972725021E-2</v>
      </c>
    </row>
    <row r="129" spans="2:18">
      <c r="B129" t="s">
        <v>610</v>
      </c>
      <c r="C129" t="s">
        <v>799</v>
      </c>
      <c r="D129" t="s">
        <v>799</v>
      </c>
      <c r="E129" t="s">
        <v>799</v>
      </c>
      <c r="F129" t="s">
        <v>799</v>
      </c>
      <c r="G129" t="s">
        <v>799</v>
      </c>
      <c r="H129">
        <v>4.4999999999999998E-2</v>
      </c>
      <c r="I129">
        <v>4.4999999999999998E-2</v>
      </c>
      <c r="J129">
        <v>5.0500000000000003E-2</v>
      </c>
      <c r="K129">
        <v>5.2005780000000001E-2</v>
      </c>
      <c r="L129">
        <v>3.6908455219340892E-2</v>
      </c>
      <c r="M129">
        <v>4.0616212479677498E-2</v>
      </c>
      <c r="N129">
        <v>3.0096021850545371E-2</v>
      </c>
      <c r="O129">
        <v>3.1810382490361881E-2</v>
      </c>
      <c r="P129">
        <v>2.5561532580733477E-2</v>
      </c>
      <c r="Q129">
        <v>3.6814678899082569E-2</v>
      </c>
      <c r="R129">
        <v>3.2779436317050999E-2</v>
      </c>
    </row>
    <row r="130" spans="2:18">
      <c r="B130" t="s">
        <v>794</v>
      </c>
      <c r="C130" t="s">
        <v>799</v>
      </c>
      <c r="D130" t="s">
        <v>799</v>
      </c>
      <c r="E130" t="s">
        <v>799</v>
      </c>
      <c r="F130" t="s">
        <v>799</v>
      </c>
      <c r="G130" t="s">
        <v>799</v>
      </c>
      <c r="H130" t="s">
        <v>799</v>
      </c>
      <c r="I130">
        <v>1.2E-2</v>
      </c>
      <c r="J130">
        <v>1.35E-2</v>
      </c>
      <c r="K130">
        <v>1.3861260000000002E-2</v>
      </c>
      <c r="L130">
        <v>1.2302818406446965E-2</v>
      </c>
      <c r="M130">
        <v>1.3538737493225832E-2</v>
      </c>
      <c r="N130">
        <v>1.0032007283515124E-2</v>
      </c>
      <c r="O130">
        <v>1.6822031843274077E-2</v>
      </c>
      <c r="P130">
        <v>1.8729771620717626E-2</v>
      </c>
      <c r="Q130">
        <v>3.0630963302752296E-2</v>
      </c>
      <c r="R130">
        <v>2.7273515373171343E-2</v>
      </c>
    </row>
    <row r="131" spans="2:18">
      <c r="B131" t="s">
        <v>580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2:18">
      <c r="B132" t="s">
        <v>622</v>
      </c>
      <c r="C132">
        <v>1.4E-2</v>
      </c>
      <c r="D132">
        <v>8.9999999999999993E-3</v>
      </c>
      <c r="E132">
        <v>8.5000000000000006E-3</v>
      </c>
      <c r="F132">
        <v>8.5000000000000006E-3</v>
      </c>
      <c r="G132">
        <v>0.01</v>
      </c>
      <c r="H132">
        <v>8.5000000000000006E-3</v>
      </c>
      <c r="I132">
        <v>8.5000000000000006E-3</v>
      </c>
      <c r="J132">
        <v>9.4999999999999998E-3</v>
      </c>
      <c r="K132">
        <v>9.7966800000000003E-3</v>
      </c>
      <c r="L132">
        <v>8.6952250391429675E-3</v>
      </c>
      <c r="M132">
        <v>9.5687317621295353E-3</v>
      </c>
      <c r="N132">
        <v>7.0902908620332442E-3</v>
      </c>
      <c r="O132">
        <v>7.4941753235439005E-3</v>
      </c>
      <c r="P132">
        <v>7.2155677555223634E-3</v>
      </c>
      <c r="Q132">
        <v>1.0354128440366973E-2</v>
      </c>
      <c r="R132">
        <v>9.2192164641705932E-3</v>
      </c>
    </row>
    <row r="133" spans="2:18">
      <c r="B133" t="s">
        <v>625</v>
      </c>
      <c r="C133">
        <v>0.01</v>
      </c>
      <c r="D133">
        <v>6.0000000000000001E-3</v>
      </c>
      <c r="E133">
        <v>5.0000000000000001E-3</v>
      </c>
      <c r="F133">
        <v>8.5000000000000006E-3</v>
      </c>
      <c r="G133">
        <v>1.7500000000000002E-2</v>
      </c>
      <c r="H133">
        <v>2.5000000000000001E-2</v>
      </c>
      <c r="I133">
        <v>2.5000000000000001E-2</v>
      </c>
      <c r="J133">
        <v>2.47E-2</v>
      </c>
      <c r="K133">
        <v>2.542968E-2</v>
      </c>
      <c r="L133">
        <v>1.637292374391814E-2</v>
      </c>
      <c r="M133">
        <v>1.8017718318052423E-2</v>
      </c>
      <c r="N133">
        <v>1.3350866835956217E-2</v>
      </c>
      <c r="O133">
        <v>1.0603460830120627E-2</v>
      </c>
      <c r="P133">
        <v>1.0209260760473134E-2</v>
      </c>
      <c r="Q133">
        <v>1.4668348623853212E-2</v>
      </c>
      <c r="R133">
        <v>1.3060556657575006E-2</v>
      </c>
    </row>
    <row r="134" spans="2:18">
      <c r="B134" t="s">
        <v>592</v>
      </c>
      <c r="C134" t="s">
        <v>799</v>
      </c>
      <c r="D134" t="s">
        <v>799</v>
      </c>
      <c r="E134" t="s">
        <v>799</v>
      </c>
      <c r="F134" t="s">
        <v>799</v>
      </c>
      <c r="G134" t="s">
        <v>799</v>
      </c>
      <c r="H134" t="s">
        <v>799</v>
      </c>
      <c r="I134" t="s">
        <v>799</v>
      </c>
      <c r="J134" t="s">
        <v>799</v>
      </c>
      <c r="K134" t="s">
        <v>799</v>
      </c>
      <c r="L134" t="s">
        <v>799</v>
      </c>
      <c r="M134">
        <v>7.3394208515908457E-2</v>
      </c>
      <c r="N134">
        <v>5.4384039484318816E-2</v>
      </c>
      <c r="O134">
        <v>5.74819192369697E-2</v>
      </c>
      <c r="P134">
        <v>6.3788689413181762E-2</v>
      </c>
      <c r="Q134">
        <v>9.1749082568807344E-2</v>
      </c>
      <c r="R134">
        <v>8.1692501446400528E-2</v>
      </c>
    </row>
    <row r="135" spans="2:18">
      <c r="B135" t="s">
        <v>735</v>
      </c>
      <c r="C135">
        <v>1.6E-2</v>
      </c>
      <c r="D135">
        <v>1.2E-2</v>
      </c>
      <c r="E135">
        <v>1.15E-2</v>
      </c>
      <c r="F135">
        <v>1.15E-2</v>
      </c>
      <c r="G135">
        <v>1.4999999999999999E-2</v>
      </c>
      <c r="H135">
        <v>1.6E-2</v>
      </c>
      <c r="I135">
        <v>1.9E-2</v>
      </c>
      <c r="J135">
        <v>2.1299999999999999E-2</v>
      </c>
      <c r="K135">
        <v>2.199042E-2</v>
      </c>
      <c r="L135">
        <v>2.2570584144158336E-2</v>
      </c>
      <c r="M135">
        <v>2.4837984574038366E-2</v>
      </c>
      <c r="N135">
        <v>1.8404584790809697E-2</v>
      </c>
      <c r="O135">
        <v>2.6548514710001261E-2</v>
      </c>
      <c r="P135">
        <v>2.5561532580733477E-2</v>
      </c>
      <c r="Q135">
        <v>3.6814678899082569E-2</v>
      </c>
      <c r="R135">
        <v>3.2779436317050999E-2</v>
      </c>
    </row>
    <row r="136" spans="2:18">
      <c r="B136" t="s">
        <v>216</v>
      </c>
      <c r="C136">
        <v>0</v>
      </c>
      <c r="D136">
        <v>0</v>
      </c>
      <c r="E136">
        <v>2.5000000000000001E-3</v>
      </c>
      <c r="F136">
        <v>8.5000000000000006E-3</v>
      </c>
      <c r="G136">
        <v>0.02</v>
      </c>
      <c r="H136">
        <v>2.1999999999999999E-2</v>
      </c>
      <c r="I136">
        <v>1.9E-2</v>
      </c>
      <c r="J136">
        <v>2.1299999999999999E-2</v>
      </c>
      <c r="K136">
        <v>2.199042E-2</v>
      </c>
      <c r="L136">
        <v>1.9518005141054957E-2</v>
      </c>
      <c r="M136">
        <v>1.8017718318052423E-2</v>
      </c>
      <c r="N136">
        <v>1.3350866835956217E-2</v>
      </c>
      <c r="O136">
        <v>1.4111372683694367E-2</v>
      </c>
      <c r="P136">
        <v>1.358676056093041E-2</v>
      </c>
      <c r="Q136">
        <v>1.9557798165137613E-2</v>
      </c>
      <c r="R136">
        <v>1.7414075543433341E-2</v>
      </c>
    </row>
    <row r="137" spans="2:18">
      <c r="B137" t="s">
        <v>395</v>
      </c>
      <c r="C137" t="s">
        <v>799</v>
      </c>
      <c r="D137" t="s">
        <v>799</v>
      </c>
      <c r="E137">
        <v>0.04</v>
      </c>
      <c r="F137">
        <v>0.04</v>
      </c>
      <c r="G137">
        <v>0.04</v>
      </c>
      <c r="H137">
        <v>4.4999999999999998E-2</v>
      </c>
      <c r="I137">
        <v>4.4999999999999998E-2</v>
      </c>
      <c r="J137">
        <v>5.0500000000000003E-2</v>
      </c>
      <c r="K137">
        <v>5.2005780000000001E-2</v>
      </c>
      <c r="L137">
        <v>4.6158694622684474E-2</v>
      </c>
      <c r="M137">
        <v>5.0795714354283386E-2</v>
      </c>
      <c r="N137">
        <v>4.6011461977024243E-2</v>
      </c>
      <c r="O137">
        <v>6.6251698870904069E-2</v>
      </c>
      <c r="P137">
        <v>7.6607836383099148E-2</v>
      </c>
      <c r="Q137">
        <v>0.14682729357798166</v>
      </c>
      <c r="R137">
        <v>0.13073361124886354</v>
      </c>
    </row>
    <row r="138" spans="2:18">
      <c r="B138" t="s">
        <v>795</v>
      </c>
      <c r="C138" t="s">
        <v>799</v>
      </c>
      <c r="D138" t="s">
        <v>799</v>
      </c>
      <c r="E138" t="s">
        <v>799</v>
      </c>
      <c r="F138" t="s">
        <v>799</v>
      </c>
      <c r="G138">
        <v>1.4999999999999999E-2</v>
      </c>
      <c r="H138">
        <v>1.6E-2</v>
      </c>
      <c r="I138">
        <v>1.6E-2</v>
      </c>
      <c r="J138">
        <v>2.1299999999999999E-2</v>
      </c>
      <c r="K138">
        <v>2.199042E-2</v>
      </c>
      <c r="L138">
        <v>1.9518005141054957E-2</v>
      </c>
      <c r="M138">
        <v>2.147874895541842E-2</v>
      </c>
      <c r="N138">
        <v>1.8404584790809697E-2</v>
      </c>
      <c r="O138">
        <v>1.9452965733454383E-2</v>
      </c>
      <c r="P138">
        <v>2.5561532580733477E-2</v>
      </c>
      <c r="Q138">
        <v>3.6814678899082569E-2</v>
      </c>
      <c r="R138">
        <v>3.2779436317050999E-2</v>
      </c>
    </row>
    <row r="139" spans="2:18">
      <c r="B139" t="s">
        <v>796</v>
      </c>
      <c r="C139">
        <v>6.5000000000000002E-2</v>
      </c>
      <c r="D139">
        <v>4.4999999999999998E-2</v>
      </c>
      <c r="E139">
        <v>0.04</v>
      </c>
      <c r="F139">
        <v>0.04</v>
      </c>
      <c r="G139">
        <v>0.05</v>
      </c>
      <c r="H139">
        <v>5.5E-2</v>
      </c>
      <c r="I139">
        <v>6.5000000000000002E-2</v>
      </c>
      <c r="J139">
        <v>7.2900000000000006E-2</v>
      </c>
      <c r="K139">
        <v>7.5142619999999993E-2</v>
      </c>
      <c r="L139">
        <v>6.6694226098107226E-2</v>
      </c>
      <c r="M139">
        <v>7.3394208515908457E-2</v>
      </c>
      <c r="N139">
        <v>5.4384039484318816E-2</v>
      </c>
      <c r="O139">
        <v>5.74819192369697E-2</v>
      </c>
      <c r="P139">
        <v>5.5344939912038545E-2</v>
      </c>
      <c r="Q139">
        <v>7.9525458715596339E-2</v>
      </c>
      <c r="R139">
        <v>7.0808704231754685E-2</v>
      </c>
    </row>
    <row r="140" spans="2:18">
      <c r="B140" t="s">
        <v>619</v>
      </c>
      <c r="C140">
        <v>5.2499999999999998E-2</v>
      </c>
      <c r="D140">
        <v>3.5000000000000003E-2</v>
      </c>
      <c r="E140">
        <v>3.2500000000000001E-2</v>
      </c>
      <c r="F140">
        <v>3.2500000000000001E-2</v>
      </c>
      <c r="G140">
        <v>3.2500000000000001E-2</v>
      </c>
      <c r="H140">
        <v>3.5999999999999997E-2</v>
      </c>
      <c r="I140">
        <v>3.5999999999999997E-2</v>
      </c>
      <c r="J140">
        <v>5.0500000000000003E-2</v>
      </c>
      <c r="K140">
        <v>5.2005780000000001E-2</v>
      </c>
      <c r="L140">
        <v>4.6158694622684474E-2</v>
      </c>
      <c r="M140">
        <v>6.2094961435095908E-2</v>
      </c>
      <c r="N140">
        <v>4.6011461977024243E-2</v>
      </c>
      <c r="O140">
        <v>8.8335598494538758E-2</v>
      </c>
      <c r="P140">
        <v>8.5051585884242345E-2</v>
      </c>
      <c r="Q140">
        <v>0.12238004587155965</v>
      </c>
      <c r="R140">
        <v>0.10896601681957188</v>
      </c>
    </row>
    <row r="141" spans="2:18">
      <c r="B141" t="s">
        <v>631</v>
      </c>
      <c r="C141" t="s">
        <v>799</v>
      </c>
      <c r="D141" t="s">
        <v>799</v>
      </c>
      <c r="E141" t="s">
        <v>799</v>
      </c>
      <c r="F141" t="s">
        <v>799</v>
      </c>
      <c r="G141" t="s">
        <v>799</v>
      </c>
      <c r="H141" t="s">
        <v>799</v>
      </c>
      <c r="I141" t="s">
        <v>799</v>
      </c>
      <c r="J141" t="s">
        <v>799</v>
      </c>
      <c r="K141" t="s">
        <v>799</v>
      </c>
      <c r="L141">
        <v>5.6426460360395843E-2</v>
      </c>
      <c r="M141">
        <v>6.2094961435095908E-2</v>
      </c>
      <c r="N141">
        <v>4.6011461977024243E-2</v>
      </c>
      <c r="O141">
        <v>5.74819192369697E-2</v>
      </c>
      <c r="P141">
        <v>5.5344939912038545E-2</v>
      </c>
      <c r="Q141">
        <v>7.9525458715596339E-2</v>
      </c>
      <c r="R141">
        <v>7.0808704231754685E-2</v>
      </c>
    </row>
    <row r="142" spans="2:18">
      <c r="B142" t="s">
        <v>628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2:18">
      <c r="B143" t="s">
        <v>136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2:18">
      <c r="B144" t="s">
        <v>681</v>
      </c>
      <c r="C144" t="s">
        <v>799</v>
      </c>
      <c r="D144" t="s">
        <v>799</v>
      </c>
      <c r="E144">
        <v>7.0000000000000001E-3</v>
      </c>
      <c r="F144" t="s">
        <v>799</v>
      </c>
      <c r="G144" t="s">
        <v>799</v>
      </c>
      <c r="H144">
        <v>6.0000000000000001E-3</v>
      </c>
      <c r="I144">
        <v>6.0000000000000001E-3</v>
      </c>
      <c r="J144">
        <v>6.7999999999999996E-3</v>
      </c>
      <c r="K144">
        <v>6.9827399999999994E-3</v>
      </c>
      <c r="L144">
        <v>6.1976604002401993E-3</v>
      </c>
      <c r="M144">
        <v>6.8202662559859444E-3</v>
      </c>
      <c r="N144">
        <v>5.0537179548534828E-3</v>
      </c>
      <c r="O144">
        <v>5.3415930497600151E-3</v>
      </c>
      <c r="P144">
        <v>5.1430110597872171E-3</v>
      </c>
      <c r="Q144">
        <v>7.3341743119266058E-3</v>
      </c>
      <c r="R144">
        <v>6.5302783287875029E-3</v>
      </c>
    </row>
    <row r="145" spans="2:18">
      <c r="B145" t="s">
        <v>654</v>
      </c>
      <c r="C145" t="s">
        <v>799</v>
      </c>
      <c r="D145" t="s">
        <v>799</v>
      </c>
      <c r="E145" t="s">
        <v>799</v>
      </c>
      <c r="F145" t="s">
        <v>799</v>
      </c>
      <c r="G145" t="s">
        <v>799</v>
      </c>
      <c r="H145" t="s">
        <v>799</v>
      </c>
      <c r="I145" t="s">
        <v>799</v>
      </c>
      <c r="J145" t="s">
        <v>799</v>
      </c>
      <c r="K145" t="s">
        <v>799</v>
      </c>
      <c r="L145">
        <v>6.6694226098107226E-2</v>
      </c>
      <c r="M145">
        <v>7.3394208515908457E-2</v>
      </c>
      <c r="N145">
        <v>5.4384039484318816E-2</v>
      </c>
      <c r="O145">
        <v>5.74819192369697E-2</v>
      </c>
      <c r="P145">
        <v>5.5344939912038545E-2</v>
      </c>
      <c r="Q145">
        <v>7.9525458715596339E-2</v>
      </c>
      <c r="R145">
        <v>7.0808704231754685E-2</v>
      </c>
    </row>
    <row r="146" spans="2:18">
      <c r="B146" t="s">
        <v>684</v>
      </c>
      <c r="C146" t="s">
        <v>799</v>
      </c>
      <c r="D146" t="s">
        <v>799</v>
      </c>
      <c r="E146" t="s">
        <v>799</v>
      </c>
      <c r="F146" t="s">
        <v>799</v>
      </c>
      <c r="G146" t="s">
        <v>799</v>
      </c>
      <c r="H146" t="s">
        <v>799</v>
      </c>
      <c r="I146" t="s">
        <v>799</v>
      </c>
      <c r="J146" t="s">
        <v>799</v>
      </c>
      <c r="K146" t="s">
        <v>799</v>
      </c>
      <c r="L146" t="s">
        <v>799</v>
      </c>
      <c r="M146">
        <v>5.0795714354283386E-2</v>
      </c>
      <c r="N146">
        <v>3.7638884469729676E-2</v>
      </c>
      <c r="O146">
        <v>4.8632414333635951E-2</v>
      </c>
      <c r="P146">
        <v>4.6824429051794063E-2</v>
      </c>
      <c r="Q146">
        <v>6.7301834862385335E-2</v>
      </c>
      <c r="R146">
        <v>5.9924907017108855E-2</v>
      </c>
    </row>
    <row r="147" spans="2:18">
      <c r="B147" t="s">
        <v>651</v>
      </c>
      <c r="C147">
        <v>0.02</v>
      </c>
      <c r="D147">
        <v>1.6E-2</v>
      </c>
      <c r="E147">
        <v>1.5000000000000001E-2</v>
      </c>
      <c r="F147">
        <v>1.4999999999999999E-2</v>
      </c>
      <c r="G147">
        <v>1.4999999999999999E-2</v>
      </c>
      <c r="H147">
        <v>1.6E-2</v>
      </c>
      <c r="I147">
        <v>1.6E-2</v>
      </c>
      <c r="J147">
        <v>1.7899999999999999E-2</v>
      </c>
      <c r="K147">
        <v>1.8446940000000002E-2</v>
      </c>
      <c r="L147">
        <v>1.637292374391814E-2</v>
      </c>
      <c r="M147">
        <v>1.8017718318052423E-2</v>
      </c>
      <c r="N147">
        <v>1.3350866835956217E-2</v>
      </c>
      <c r="O147">
        <v>1.4111372683694367E-2</v>
      </c>
      <c r="P147">
        <v>1.358676056093041E-2</v>
      </c>
      <c r="Q147">
        <v>1.9557798165137613E-2</v>
      </c>
      <c r="R147">
        <v>1.7414075543433341E-2</v>
      </c>
    </row>
    <row r="148" spans="2:18">
      <c r="B148" t="s">
        <v>648</v>
      </c>
      <c r="C148" t="s">
        <v>799</v>
      </c>
      <c r="D148" t="s">
        <v>799</v>
      </c>
      <c r="E148" t="s">
        <v>799</v>
      </c>
      <c r="F148" t="s">
        <v>799</v>
      </c>
      <c r="G148" t="s">
        <v>799</v>
      </c>
      <c r="H148" t="s">
        <v>799</v>
      </c>
      <c r="I148" t="s">
        <v>799</v>
      </c>
      <c r="J148" t="s">
        <v>799</v>
      </c>
      <c r="K148" t="s">
        <v>799</v>
      </c>
      <c r="L148" t="s">
        <v>799</v>
      </c>
      <c r="M148" t="s">
        <v>799</v>
      </c>
      <c r="N148">
        <v>5.4384039484318816E-2</v>
      </c>
      <c r="O148">
        <v>5.74819192369697E-2</v>
      </c>
      <c r="P148">
        <v>5.5344939912038545E-2</v>
      </c>
      <c r="Q148">
        <v>7.9525458715596339E-2</v>
      </c>
      <c r="R148">
        <v>7.0808704231754685E-2</v>
      </c>
    </row>
    <row r="149" spans="2:18">
      <c r="B149" t="s">
        <v>669</v>
      </c>
      <c r="C149">
        <v>0.02</v>
      </c>
      <c r="D149">
        <v>1.6E-2</v>
      </c>
      <c r="E149">
        <v>1.5000000000000001E-2</v>
      </c>
      <c r="F149">
        <v>1.4999999999999999E-2</v>
      </c>
      <c r="G149">
        <v>1.4999999999999999E-2</v>
      </c>
      <c r="H149">
        <v>1.6E-2</v>
      </c>
      <c r="I149">
        <v>1.6E-2</v>
      </c>
      <c r="J149">
        <v>2.1299999999999999E-2</v>
      </c>
      <c r="K149">
        <v>2.542968E-2</v>
      </c>
      <c r="L149">
        <v>2.5623163147261721E-2</v>
      </c>
      <c r="M149">
        <v>2.8197220192658311E-2</v>
      </c>
      <c r="N149">
        <v>2.0893729455140522E-2</v>
      </c>
      <c r="O149">
        <v>2.208389962363469E-2</v>
      </c>
      <c r="P149">
        <v>2.5561532580733477E-2</v>
      </c>
      <c r="Q149">
        <v>3.6814678899082569E-2</v>
      </c>
      <c r="R149">
        <v>3.2779436317050999E-2</v>
      </c>
    </row>
    <row r="150" spans="2:18">
      <c r="B150" t="s">
        <v>672</v>
      </c>
      <c r="C150">
        <v>2.2499999999999999E-2</v>
      </c>
      <c r="D150">
        <v>1.7999999999999999E-2</v>
      </c>
      <c r="E150">
        <v>1.7500000000000002E-2</v>
      </c>
      <c r="F150">
        <v>0.02</v>
      </c>
      <c r="G150">
        <v>0.02</v>
      </c>
      <c r="H150">
        <v>3.5999999999999997E-2</v>
      </c>
      <c r="I150">
        <v>3.5999999999999997E-2</v>
      </c>
      <c r="J150">
        <v>4.0399999999999998E-2</v>
      </c>
      <c r="K150">
        <v>4.1583780000000001E-2</v>
      </c>
      <c r="L150">
        <v>4.6158694622684474E-2</v>
      </c>
      <c r="M150">
        <v>6.2094961435095908E-2</v>
      </c>
      <c r="N150">
        <v>4.6011461977024243E-2</v>
      </c>
      <c r="O150">
        <v>4.8632414333635951E-2</v>
      </c>
      <c r="P150">
        <v>6.3788689413181762E-2</v>
      </c>
      <c r="Q150">
        <v>9.1749082568807344E-2</v>
      </c>
      <c r="R150">
        <v>9.8082219604926024E-2</v>
      </c>
    </row>
    <row r="151" spans="2:18">
      <c r="B151" t="s">
        <v>675</v>
      </c>
      <c r="C151">
        <v>5.2499999999999998E-2</v>
      </c>
      <c r="D151">
        <v>3.5000000000000003E-2</v>
      </c>
      <c r="E151">
        <v>2.75E-2</v>
      </c>
      <c r="F151">
        <v>2.75E-2</v>
      </c>
      <c r="G151">
        <v>2.4E-2</v>
      </c>
      <c r="H151">
        <v>2.1999999999999999E-2</v>
      </c>
      <c r="I151">
        <v>2.1999999999999999E-2</v>
      </c>
      <c r="J151">
        <v>2.47E-2</v>
      </c>
      <c r="K151">
        <v>2.8868939999999999E-2</v>
      </c>
      <c r="L151">
        <v>2.5623163147261721E-2</v>
      </c>
      <c r="M151">
        <v>4.0616212479677498E-2</v>
      </c>
      <c r="N151">
        <v>3.7638884469729676E-2</v>
      </c>
      <c r="O151">
        <v>4.8632414333635951E-2</v>
      </c>
      <c r="P151">
        <v>4.6824429051794063E-2</v>
      </c>
      <c r="Q151">
        <v>7.9525458715596339E-2</v>
      </c>
      <c r="R151">
        <v>7.0808704231754685E-2</v>
      </c>
    </row>
    <row r="152" spans="2:18">
      <c r="B152" t="s">
        <v>642</v>
      </c>
      <c r="C152" t="s">
        <v>799</v>
      </c>
      <c r="D152" t="s">
        <v>799</v>
      </c>
      <c r="E152" t="s">
        <v>799</v>
      </c>
      <c r="F152" t="s">
        <v>799</v>
      </c>
      <c r="G152" t="s">
        <v>799</v>
      </c>
      <c r="H152" t="s">
        <v>799</v>
      </c>
      <c r="I152">
        <v>1.6E-2</v>
      </c>
      <c r="J152">
        <v>1.7899999999999999E-2</v>
      </c>
      <c r="K152">
        <v>8.6606820000000001E-2</v>
      </c>
      <c r="L152">
        <v>1.637292374391814E-2</v>
      </c>
      <c r="M152">
        <v>1.8017718318052423E-2</v>
      </c>
      <c r="N152">
        <v>1.3350866835956217E-2</v>
      </c>
      <c r="O152">
        <v>1.4111372683694367E-2</v>
      </c>
      <c r="P152">
        <v>1.358676056093041E-2</v>
      </c>
      <c r="Q152">
        <v>1.9557798165137613E-2</v>
      </c>
      <c r="R152">
        <v>1.7414075543433341E-2</v>
      </c>
    </row>
    <row r="153" spans="2:18">
      <c r="B153" t="s">
        <v>687</v>
      </c>
      <c r="C153" t="s">
        <v>799</v>
      </c>
      <c r="D153" t="s">
        <v>799</v>
      </c>
      <c r="E153" t="s">
        <v>799</v>
      </c>
      <c r="F153" t="s">
        <v>799</v>
      </c>
      <c r="G153" t="s">
        <v>799</v>
      </c>
      <c r="H153">
        <v>4.4999999999999998E-2</v>
      </c>
      <c r="I153">
        <v>4.4999999999999998E-2</v>
      </c>
      <c r="J153">
        <v>5.0500000000000003E-2</v>
      </c>
      <c r="K153">
        <v>6.3574199999999997E-2</v>
      </c>
      <c r="L153">
        <v>5.6426460360395843E-2</v>
      </c>
      <c r="M153">
        <v>6.2094961435095908E-2</v>
      </c>
      <c r="N153">
        <v>4.6011461977024243E-2</v>
      </c>
      <c r="O153">
        <v>4.8632414333635951E-2</v>
      </c>
      <c r="P153">
        <v>4.6824429051794063E-2</v>
      </c>
      <c r="Q153">
        <v>6.7301834862385335E-2</v>
      </c>
      <c r="R153">
        <v>5.9924907017108855E-2</v>
      </c>
    </row>
    <row r="154" spans="2:18">
      <c r="B154" t="s">
        <v>690</v>
      </c>
      <c r="C154">
        <v>6.5000000000000002E-2</v>
      </c>
      <c r="D154">
        <v>5.5E-2</v>
      </c>
      <c r="E154">
        <v>0.05</v>
      </c>
      <c r="F154">
        <v>0.05</v>
      </c>
      <c r="G154">
        <v>0.06</v>
      </c>
      <c r="H154">
        <v>7.4999999999999997E-2</v>
      </c>
      <c r="I154">
        <v>0.1</v>
      </c>
      <c r="J154">
        <v>0.11210000000000001</v>
      </c>
      <c r="K154">
        <v>0.11547576</v>
      </c>
      <c r="L154">
        <v>9.2317389245368947E-2</v>
      </c>
      <c r="M154">
        <v>8.4591660577974931E-2</v>
      </c>
      <c r="N154">
        <v>6.2681188365421567E-2</v>
      </c>
      <c r="O154">
        <v>5.74819192369697E-2</v>
      </c>
      <c r="P154">
        <v>5.5344939912038545E-2</v>
      </c>
      <c r="Q154">
        <v>0.12238004587155965</v>
      </c>
      <c r="R154">
        <v>0.13073361124886354</v>
      </c>
    </row>
    <row r="155" spans="2:18">
      <c r="B155" t="s">
        <v>34</v>
      </c>
      <c r="C155">
        <v>0.01</v>
      </c>
      <c r="D155">
        <v>6.0000000000000001E-3</v>
      </c>
      <c r="E155">
        <v>5.0000000000000001E-3</v>
      </c>
      <c r="F155">
        <v>5.0000000000000001E-3</v>
      </c>
      <c r="G155">
        <v>5.0000000000000001E-3</v>
      </c>
      <c r="H155">
        <v>5.0000000000000001E-3</v>
      </c>
      <c r="I155">
        <v>5.0000000000000001E-3</v>
      </c>
      <c r="J155">
        <v>5.5999999999999999E-3</v>
      </c>
      <c r="K155">
        <v>5.7320999999999995E-3</v>
      </c>
      <c r="L155">
        <v>5.0876316718389695E-3</v>
      </c>
      <c r="M155">
        <v>5.5987260310332385E-3</v>
      </c>
      <c r="N155">
        <v>4.1485744405513666E-3</v>
      </c>
      <c r="O155">
        <v>4.3848898169671765E-3</v>
      </c>
      <c r="P155">
        <v>4.2218747505715949E-3</v>
      </c>
      <c r="Q155">
        <v>6.0399082568807346E-3</v>
      </c>
      <c r="R155">
        <v>5.3778762707661788E-3</v>
      </c>
    </row>
    <row r="156" spans="2:18">
      <c r="B156" t="s">
        <v>246</v>
      </c>
      <c r="C156">
        <v>0</v>
      </c>
      <c r="D156">
        <v>0</v>
      </c>
      <c r="E156">
        <v>0</v>
      </c>
      <c r="F156">
        <v>0</v>
      </c>
      <c r="G156" t="s">
        <v>799</v>
      </c>
      <c r="H156">
        <v>4.0000000000000001E-3</v>
      </c>
      <c r="I156">
        <v>4.0000000000000001E-3</v>
      </c>
      <c r="J156">
        <v>4.4999999999999997E-3</v>
      </c>
      <c r="K156">
        <v>4.58568E-3</v>
      </c>
      <c r="L156">
        <v>5.0876316718389695E-3</v>
      </c>
      <c r="M156">
        <v>5.5987260310332385E-3</v>
      </c>
      <c r="N156">
        <v>4.1485744405513666E-3</v>
      </c>
      <c r="O156">
        <v>5.3415930497600151E-3</v>
      </c>
      <c r="P156">
        <v>5.1430110597872171E-3</v>
      </c>
      <c r="Q156">
        <v>7.3341743119266058E-3</v>
      </c>
      <c r="R156">
        <v>6.5302783287875029E-3</v>
      </c>
    </row>
    <row r="157" spans="2:18">
      <c r="B157" t="s">
        <v>698</v>
      </c>
      <c r="C157">
        <v>0</v>
      </c>
      <c r="D157">
        <v>0</v>
      </c>
      <c r="E157">
        <v>0</v>
      </c>
      <c r="F157">
        <v>0</v>
      </c>
      <c r="G157" t="s">
        <v>799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2:18">
      <c r="B158" t="s">
        <v>696</v>
      </c>
      <c r="C158">
        <v>6.5000000000000002E-2</v>
      </c>
      <c r="D158">
        <v>3.5000000000000003E-2</v>
      </c>
      <c r="E158">
        <v>2.4E-2</v>
      </c>
      <c r="F158">
        <v>2.4E-2</v>
      </c>
      <c r="G158">
        <v>0.02</v>
      </c>
      <c r="H158">
        <v>2.1999999999999999E-2</v>
      </c>
      <c r="I158">
        <v>1.9E-2</v>
      </c>
      <c r="J158">
        <v>2.1299999999999999E-2</v>
      </c>
      <c r="K158">
        <v>2.199042E-2</v>
      </c>
      <c r="L158">
        <v>1.9518005141054957E-2</v>
      </c>
      <c r="M158">
        <v>2.147874895541842E-2</v>
      </c>
      <c r="N158">
        <v>3.7638884469729676E-2</v>
      </c>
      <c r="O158">
        <v>1.6822031843274077E-2</v>
      </c>
      <c r="P158">
        <v>1.6196646770374669E-2</v>
      </c>
      <c r="Q158">
        <v>2.3296788990825688E-2</v>
      </c>
      <c r="R158">
        <v>2.0743237044383835E-2</v>
      </c>
    </row>
    <row r="159" spans="2:18">
      <c r="B159" t="s">
        <v>701</v>
      </c>
      <c r="C159" t="s">
        <v>799</v>
      </c>
      <c r="D159" t="s">
        <v>799</v>
      </c>
      <c r="E159" t="s">
        <v>799</v>
      </c>
      <c r="F159" t="s">
        <v>799</v>
      </c>
      <c r="G159" t="s">
        <v>799</v>
      </c>
      <c r="H159" t="s">
        <v>799</v>
      </c>
      <c r="I159" t="s">
        <v>799</v>
      </c>
      <c r="J159" t="s">
        <v>799</v>
      </c>
      <c r="K159" t="s">
        <v>799</v>
      </c>
      <c r="L159" t="s">
        <v>799</v>
      </c>
      <c r="M159" t="s">
        <v>799</v>
      </c>
      <c r="N159">
        <v>1.5915440126478879E-2</v>
      </c>
      <c r="O159">
        <v>3.9782909430302202E-2</v>
      </c>
      <c r="P159">
        <v>3.8303918191549574E-2</v>
      </c>
      <c r="Q159">
        <v>5.5078211009174309E-2</v>
      </c>
      <c r="R159">
        <v>3.9181669972725021E-2</v>
      </c>
    </row>
    <row r="160" spans="2:18">
      <c r="B160" t="s">
        <v>777</v>
      </c>
      <c r="C160">
        <v>6.5000000000000002E-2</v>
      </c>
      <c r="D160">
        <v>4.4999999999999998E-2</v>
      </c>
      <c r="E160">
        <v>0.04</v>
      </c>
      <c r="F160">
        <v>0.04</v>
      </c>
      <c r="G160">
        <v>0.04</v>
      </c>
      <c r="H160">
        <v>7.4999999999999997E-2</v>
      </c>
      <c r="I160">
        <v>7.4999999999999997E-2</v>
      </c>
      <c r="J160">
        <v>0.11210000000000001</v>
      </c>
      <c r="K160">
        <v>0.11547576</v>
      </c>
      <c r="L160">
        <v>0.10249265258904688</v>
      </c>
      <c r="M160">
        <v>0.18</v>
      </c>
      <c r="N160">
        <v>0.15</v>
      </c>
      <c r="O160">
        <v>0.17499999999999999</v>
      </c>
      <c r="P160">
        <v>0.17499999999999999</v>
      </c>
      <c r="Q160">
        <v>0.17499999999999999</v>
      </c>
      <c r="R160">
        <v>0.17499999999999999</v>
      </c>
    </row>
    <row r="161" spans="2:18">
      <c r="B161" t="s">
        <v>717</v>
      </c>
      <c r="C161">
        <v>5.2499999999999998E-2</v>
      </c>
      <c r="D161">
        <v>3.5000000000000003E-2</v>
      </c>
      <c r="E161">
        <v>0.04</v>
      </c>
      <c r="F161">
        <v>0.04</v>
      </c>
      <c r="G161">
        <v>0.05</v>
      </c>
      <c r="H161">
        <v>5.5E-2</v>
      </c>
      <c r="I161">
        <v>4.4999999999999998E-2</v>
      </c>
      <c r="J161">
        <v>5.0500000000000003E-2</v>
      </c>
      <c r="K161">
        <v>5.2005780000000001E-2</v>
      </c>
      <c r="L161">
        <v>4.6158694622684474E-2</v>
      </c>
      <c r="M161">
        <v>4.0616212479677498E-2</v>
      </c>
      <c r="N161">
        <v>3.0096021850545371E-2</v>
      </c>
      <c r="O161">
        <v>3.1810382490361881E-2</v>
      </c>
      <c r="P161">
        <v>3.0627782281419401E-2</v>
      </c>
      <c r="Q161">
        <v>3.6814678899082569E-2</v>
      </c>
      <c r="R161">
        <v>3.2779436317050999E-2</v>
      </c>
    </row>
    <row r="162" spans="2:18">
      <c r="B162" t="s">
        <v>738</v>
      </c>
      <c r="C162" t="s">
        <v>799</v>
      </c>
      <c r="D162" t="s">
        <v>799</v>
      </c>
      <c r="E162" t="s">
        <v>799</v>
      </c>
      <c r="F162" t="s">
        <v>799</v>
      </c>
      <c r="G162">
        <v>0.04</v>
      </c>
      <c r="H162">
        <v>4.4999999999999998E-2</v>
      </c>
      <c r="I162">
        <v>4.4999999999999998E-2</v>
      </c>
      <c r="J162">
        <v>7.2900000000000006E-2</v>
      </c>
      <c r="K162">
        <v>7.5142619999999993E-2</v>
      </c>
      <c r="L162">
        <v>6.6694226098107226E-2</v>
      </c>
      <c r="M162">
        <v>8.4591660577974931E-2</v>
      </c>
      <c r="N162">
        <v>7.5277768939459352E-2</v>
      </c>
      <c r="O162">
        <v>0.10603460830120626</v>
      </c>
      <c r="P162">
        <v>0.10209260760473131</v>
      </c>
      <c r="Q162">
        <v>0.14682729357798166</v>
      </c>
      <c r="R162">
        <v>0.10896601681957188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769A1-2040-D142-B6BA-F1DBBD8915CE}">
  <sheetPr>
    <tabColor theme="9" tint="0.79998168889431442"/>
  </sheetPr>
  <dimension ref="A2:S162"/>
  <sheetViews>
    <sheetView workbookViewId="0">
      <selection activeCell="S2" sqref="S2:AW2"/>
    </sheetView>
  </sheetViews>
  <sheetFormatPr baseColWidth="10" defaultRowHeight="16"/>
  <cols>
    <col min="1" max="1" width="2.83203125" customWidth="1"/>
  </cols>
  <sheetData>
    <row r="2" spans="1:19" s="32" customFormat="1">
      <c r="A2" s="30"/>
      <c r="B2" s="31" t="str" cm="1">
        <f t="array" aca="1" ref="B2" ca="1">MID(CELL("filename", A1), FIND("]", CELL("filename", A1)) + 1, 255)</f>
        <v>Country Premium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</row>
    <row r="5" spans="1:19" s="2" customFormat="1">
      <c r="B5" s="2" t="s">
        <v>781</v>
      </c>
      <c r="C5" s="2">
        <v>2008</v>
      </c>
      <c r="D5" s="2">
        <v>2009</v>
      </c>
      <c r="E5" s="2">
        <v>2010</v>
      </c>
      <c r="F5" s="2">
        <v>2011</v>
      </c>
      <c r="G5" s="2">
        <v>2012</v>
      </c>
      <c r="H5" s="2">
        <v>2013</v>
      </c>
      <c r="I5" s="2">
        <v>2014</v>
      </c>
      <c r="J5" s="2">
        <v>2015</v>
      </c>
      <c r="K5" s="2">
        <v>2016</v>
      </c>
      <c r="L5" s="2">
        <v>2017</v>
      </c>
      <c r="M5" s="2">
        <v>2018</v>
      </c>
      <c r="N5" s="2">
        <v>2019</v>
      </c>
      <c r="O5" s="2">
        <v>2020</v>
      </c>
      <c r="P5" s="2">
        <v>2021</v>
      </c>
      <c r="Q5" s="2">
        <v>2022</v>
      </c>
      <c r="R5" s="2">
        <v>2023</v>
      </c>
    </row>
    <row r="6" spans="1:19">
      <c r="B6" t="s">
        <v>782</v>
      </c>
      <c r="C6" t="s">
        <v>799</v>
      </c>
      <c r="D6" t="s">
        <v>799</v>
      </c>
      <c r="E6" t="s">
        <v>799</v>
      </c>
      <c r="F6" t="s">
        <v>799</v>
      </c>
      <c r="G6" t="s">
        <v>799</v>
      </c>
      <c r="H6">
        <v>7.4999999999999997E-3</v>
      </c>
      <c r="I6">
        <v>7.4999999999999997E-3</v>
      </c>
      <c r="J6">
        <v>7.8399999999999997E-3</v>
      </c>
      <c r="K6">
        <v>7.0531279851984751E-3</v>
      </c>
      <c r="L6">
        <v>5.7201482060169036E-3</v>
      </c>
      <c r="M6">
        <v>6.8868579673562009E-3</v>
      </c>
      <c r="N6">
        <v>4.8935841455589359E-3</v>
      </c>
      <c r="O6">
        <v>4.8055028663616358E-3</v>
      </c>
      <c r="P6">
        <v>4.9069012281314477E-3</v>
      </c>
      <c r="Q6">
        <v>8.5200431640072103E-3</v>
      </c>
      <c r="R6">
        <v>7.2194739993367832E-3</v>
      </c>
    </row>
    <row r="7" spans="1:19">
      <c r="B7" t="s">
        <v>25</v>
      </c>
      <c r="C7">
        <v>9.7500000000000017E-2</v>
      </c>
      <c r="D7">
        <v>6.7500000000000004E-2</v>
      </c>
      <c r="E7">
        <v>0.06</v>
      </c>
      <c r="F7">
        <v>0.06</v>
      </c>
      <c r="G7">
        <v>0.06</v>
      </c>
      <c r="H7">
        <v>6.7500000000000004E-2</v>
      </c>
      <c r="I7">
        <v>6.7500000000000004E-2</v>
      </c>
      <c r="J7">
        <v>7.0699999999999999E-2</v>
      </c>
      <c r="K7">
        <v>6.3991106629346178E-2</v>
      </c>
      <c r="L7">
        <v>5.1897344632771548E-2</v>
      </c>
      <c r="M7">
        <v>6.2482584103831722E-2</v>
      </c>
      <c r="N7">
        <v>4.4398154338798353E-2</v>
      </c>
      <c r="O7">
        <v>4.3599016914808296E-2</v>
      </c>
      <c r="P7">
        <v>4.451897659704715E-2</v>
      </c>
      <c r="Q7">
        <v>7.7694679328922892E-2</v>
      </c>
      <c r="R7">
        <v>6.5834727184428288E-2</v>
      </c>
    </row>
    <row r="8" spans="1:19">
      <c r="B8" t="s">
        <v>28</v>
      </c>
      <c r="C8" t="s">
        <v>799</v>
      </c>
      <c r="D8" t="s">
        <v>799</v>
      </c>
      <c r="E8" t="s">
        <v>799</v>
      </c>
      <c r="F8" t="s">
        <v>799</v>
      </c>
      <c r="G8" t="s">
        <v>799</v>
      </c>
      <c r="H8" t="s">
        <v>799</v>
      </c>
      <c r="I8">
        <v>2.4E-2</v>
      </c>
      <c r="J8">
        <v>3.458E-2</v>
      </c>
      <c r="K8">
        <v>3.1290240516153235E-2</v>
      </c>
      <c r="L8">
        <v>2.1944568572173941E-2</v>
      </c>
      <c r="M8">
        <v>2.6420491474766512E-2</v>
      </c>
      <c r="N8">
        <v>1.8773568267507916E-2</v>
      </c>
      <c r="O8">
        <v>7.2606779671754898E-2</v>
      </c>
      <c r="P8">
        <v>1.8824657438831559E-2</v>
      </c>
      <c r="Q8">
        <v>3.2863023632599235E-2</v>
      </c>
      <c r="R8">
        <v>2.7846542568870453E-2</v>
      </c>
    </row>
    <row r="9" spans="1:19">
      <c r="B9" t="s">
        <v>15</v>
      </c>
      <c r="C9" t="s">
        <v>799</v>
      </c>
      <c r="D9" t="s">
        <v>799</v>
      </c>
      <c r="E9">
        <v>0.06</v>
      </c>
      <c r="F9">
        <v>4.8750000000000002E-2</v>
      </c>
      <c r="G9">
        <v>4.8750000000000002E-2</v>
      </c>
      <c r="H9">
        <v>5.3999999999999992E-2</v>
      </c>
      <c r="I9">
        <v>4.4999999999999998E-2</v>
      </c>
      <c r="J9">
        <v>7.0699999999999999E-2</v>
      </c>
      <c r="K9">
        <v>6.3991106629346178E-2</v>
      </c>
      <c r="L9">
        <v>6.3441643739460193E-2</v>
      </c>
      <c r="M9">
        <v>9.028044717206947E-2</v>
      </c>
      <c r="N9">
        <v>6.4150439435418039E-2</v>
      </c>
      <c r="O9">
        <v>7.2606779671754898E-2</v>
      </c>
      <c r="P9">
        <v>6.4325014281504972E-2</v>
      </c>
      <c r="Q9">
        <v>0.11218056832609494</v>
      </c>
      <c r="R9">
        <v>9.5056407657934314E-2</v>
      </c>
    </row>
    <row r="10" spans="1:19">
      <c r="B10" t="s">
        <v>38</v>
      </c>
      <c r="C10">
        <v>0.13500000000000001</v>
      </c>
      <c r="D10">
        <v>9.7500000000000017E-2</v>
      </c>
      <c r="E10">
        <v>9.0000000000000011E-2</v>
      </c>
      <c r="F10">
        <v>0.09</v>
      </c>
      <c r="G10">
        <v>0.09</v>
      </c>
      <c r="H10">
        <v>9.7500000000000003E-2</v>
      </c>
      <c r="I10">
        <v>0.11249999999999999</v>
      </c>
      <c r="J10">
        <v>0.10206</v>
      </c>
      <c r="K10">
        <v>9.2460095951420018E-2</v>
      </c>
      <c r="L10">
        <v>6.3441643739460193E-2</v>
      </c>
      <c r="M10">
        <v>7.6381515637950578E-2</v>
      </c>
      <c r="N10">
        <v>8.8796308677596705E-2</v>
      </c>
      <c r="O10">
        <v>0.11620579658656319</v>
      </c>
      <c r="P10">
        <v>0.11865779333481502</v>
      </c>
      <c r="Q10">
        <v>0.20711819215360386</v>
      </c>
      <c r="R10">
        <v>0.17550197507911564</v>
      </c>
    </row>
    <row r="11" spans="1:19">
      <c r="B11" t="s">
        <v>41</v>
      </c>
      <c r="C11">
        <v>0.06</v>
      </c>
      <c r="D11">
        <v>4.4999999999999998E-2</v>
      </c>
      <c r="E11">
        <v>4.1249999999999995E-2</v>
      </c>
      <c r="F11">
        <v>4.1250000000000009E-2</v>
      </c>
      <c r="G11">
        <v>4.1250000000000002E-2</v>
      </c>
      <c r="H11">
        <v>4.4999999999999998E-2</v>
      </c>
      <c r="I11">
        <v>4.4999999999999998E-2</v>
      </c>
      <c r="J11">
        <v>7.0699999999999999E-2</v>
      </c>
      <c r="K11">
        <v>6.3991106629346178E-2</v>
      </c>
      <c r="L11">
        <v>5.1897344632771548E-2</v>
      </c>
      <c r="M11">
        <v>6.2482584103831722E-2</v>
      </c>
      <c r="N11">
        <v>3.5500728619600283E-2</v>
      </c>
      <c r="O11">
        <v>3.4861738975968962E-2</v>
      </c>
      <c r="P11">
        <v>3.5597338000444512E-2</v>
      </c>
      <c r="Q11">
        <v>6.2074600194909679E-2</v>
      </c>
      <c r="R11">
        <v>5.2599024852310855E-2</v>
      </c>
    </row>
    <row r="12" spans="1:19">
      <c r="B12" t="s">
        <v>7</v>
      </c>
      <c r="C12" t="s">
        <v>799</v>
      </c>
      <c r="D12" t="s">
        <v>799</v>
      </c>
      <c r="E12" t="s">
        <v>799</v>
      </c>
      <c r="F12" t="s">
        <v>799</v>
      </c>
      <c r="G12" t="s">
        <v>799</v>
      </c>
      <c r="H12">
        <v>2.4E-2</v>
      </c>
      <c r="I12">
        <v>2.4E-2</v>
      </c>
      <c r="J12">
        <v>2.5059999999999999E-2</v>
      </c>
      <c r="K12">
        <v>2.2698248243275099E-2</v>
      </c>
      <c r="L12">
        <v>1.8408476953908945E-2</v>
      </c>
      <c r="M12">
        <v>2.2163161094946322E-2</v>
      </c>
      <c r="N12">
        <v>1.5748443522980576E-2</v>
      </c>
      <c r="O12">
        <v>1.5464981951745628E-2</v>
      </c>
      <c r="P12">
        <v>1.8824657438831559E-2</v>
      </c>
      <c r="Q12">
        <v>3.2863023632599235E-2</v>
      </c>
      <c r="R12">
        <v>2.7846542568870453E-2</v>
      </c>
    </row>
    <row r="13" spans="1:19">
      <c r="B13" t="s">
        <v>56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9">
      <c r="B14" t="s">
        <v>59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6.2999999999999992E-3</v>
      </c>
      <c r="K14">
        <v>5.6425023881587809E-3</v>
      </c>
      <c r="L14">
        <v>4.576118564813522E-3</v>
      </c>
      <c r="M14">
        <v>5.5094863738849604E-3</v>
      </c>
      <c r="N14">
        <v>3.9148673164471478E-3</v>
      </c>
      <c r="O14">
        <v>3.8444022930893078E-3</v>
      </c>
      <c r="P14">
        <v>3.925520982505158E-3</v>
      </c>
      <c r="Q14">
        <v>6.8971777994344076E-3</v>
      </c>
      <c r="R14">
        <v>5.8443360947012055E-3</v>
      </c>
    </row>
    <row r="15" spans="1:19">
      <c r="B15" t="s">
        <v>62</v>
      </c>
      <c r="C15">
        <v>4.4999999999999998E-2</v>
      </c>
      <c r="D15">
        <v>3.7500000000000006E-2</v>
      </c>
      <c r="E15">
        <v>3.6000000000000004E-2</v>
      </c>
      <c r="F15">
        <v>3.6000000000000004E-2</v>
      </c>
      <c r="G15">
        <v>0.03</v>
      </c>
      <c r="H15">
        <v>3.3000000000000002E-2</v>
      </c>
      <c r="I15">
        <v>3.3000000000000002E-2</v>
      </c>
      <c r="J15">
        <v>3.9199999999999999E-2</v>
      </c>
      <c r="K15">
        <v>3.5522117307272325E-2</v>
      </c>
      <c r="L15">
        <v>3.4632897320065976E-2</v>
      </c>
      <c r="M15">
        <v>4.1696794602356632E-2</v>
      </c>
      <c r="N15">
        <v>2.962842764492955E-2</v>
      </c>
      <c r="O15">
        <v>2.9095135536334988E-2</v>
      </c>
      <c r="P15">
        <v>2.9709056526686765E-2</v>
      </c>
      <c r="Q15">
        <v>4.3208790331750853E-2</v>
      </c>
      <c r="R15">
        <v>3.6613046710922269E-2</v>
      </c>
    </row>
    <row r="16" spans="1:19">
      <c r="B16" t="s">
        <v>89</v>
      </c>
      <c r="C16">
        <v>2.1000000000000005E-2</v>
      </c>
      <c r="D16">
        <v>1.8000000000000002E-2</v>
      </c>
      <c r="E16">
        <v>1.7250000000000001E-2</v>
      </c>
      <c r="F16">
        <v>1.7250000000000001E-2</v>
      </c>
      <c r="G16">
        <v>2.2499999999999999E-2</v>
      </c>
      <c r="H16">
        <v>2.4E-2</v>
      </c>
      <c r="I16">
        <v>2.8499999999999998E-2</v>
      </c>
      <c r="J16">
        <v>2.9819999999999996E-2</v>
      </c>
      <c r="K16">
        <v>3.1290240516153235E-2</v>
      </c>
      <c r="L16">
        <v>2.5376657495784077E-2</v>
      </c>
      <c r="M16">
        <v>3.0552606255180234E-2</v>
      </c>
      <c r="N16">
        <v>2.1709718754843278E-2</v>
      </c>
      <c r="O16">
        <v>2.9095135536334988E-2</v>
      </c>
      <c r="P16">
        <v>3.5597338000444512E-2</v>
      </c>
      <c r="Q16">
        <v>7.7694679328922892E-2</v>
      </c>
      <c r="R16">
        <v>6.5834727184428288E-2</v>
      </c>
    </row>
    <row r="17" spans="2:18">
      <c r="B17" t="s">
        <v>86</v>
      </c>
      <c r="C17">
        <v>2.4000000000000007E-2</v>
      </c>
      <c r="D17">
        <v>1.575E-2</v>
      </c>
      <c r="E17">
        <v>1.7250000000000001E-2</v>
      </c>
      <c r="F17">
        <v>2.2499999999999992E-2</v>
      </c>
      <c r="G17">
        <v>2.2499999999999999E-2</v>
      </c>
      <c r="H17">
        <v>2.8499999999999998E-2</v>
      </c>
      <c r="I17">
        <v>2.8499999999999998E-2</v>
      </c>
      <c r="J17">
        <v>4.718E-2</v>
      </c>
      <c r="K17">
        <v>4.2703483983110774E-2</v>
      </c>
      <c r="L17">
        <v>5.1897344632771548E-2</v>
      </c>
      <c r="M17">
        <v>7.6381515637950578E-2</v>
      </c>
      <c r="N17">
        <v>5.4274296887108192E-2</v>
      </c>
      <c r="O17">
        <v>5.3297395426919955E-2</v>
      </c>
      <c r="P17">
        <v>5.4421995439276061E-2</v>
      </c>
      <c r="Q17">
        <v>9.4937623827508935E-2</v>
      </c>
      <c r="R17">
        <v>8.0445567421181308E-2</v>
      </c>
    </row>
    <row r="18" spans="2:18">
      <c r="B18" t="s">
        <v>80</v>
      </c>
      <c r="C18" t="s">
        <v>799</v>
      </c>
      <c r="D18" t="s">
        <v>799</v>
      </c>
      <c r="E18">
        <v>4.8750000000000002E-2</v>
      </c>
      <c r="F18">
        <v>4.8750000000000002E-2</v>
      </c>
      <c r="G18">
        <v>4.8750000000000002E-2</v>
      </c>
      <c r="H18">
        <v>5.3999999999999992E-2</v>
      </c>
      <c r="I18">
        <v>5.3999999999999992E-2</v>
      </c>
      <c r="J18">
        <v>5.6559999999999992E-2</v>
      </c>
      <c r="K18">
        <v>5.1167237565348946E-2</v>
      </c>
      <c r="L18">
        <v>4.1497075167286269E-2</v>
      </c>
      <c r="M18">
        <v>4.9961024163184084E-2</v>
      </c>
      <c r="N18">
        <v>3.5500728619600283E-2</v>
      </c>
      <c r="O18">
        <v>3.4861738975968962E-2</v>
      </c>
      <c r="P18">
        <v>3.5597338000444512E-2</v>
      </c>
      <c r="Q18">
        <v>6.2074600194909679E-2</v>
      </c>
      <c r="R18">
        <v>6.5834727184428288E-2</v>
      </c>
    </row>
    <row r="19" spans="2:18">
      <c r="B19" t="s">
        <v>112</v>
      </c>
      <c r="C19">
        <v>2.6250000000000009E-2</v>
      </c>
      <c r="D19">
        <v>2.6999999999999996E-2</v>
      </c>
      <c r="E19">
        <v>2.6250000000000009E-2</v>
      </c>
      <c r="F19">
        <v>0.03</v>
      </c>
      <c r="G19">
        <v>0.03</v>
      </c>
      <c r="H19">
        <v>3.7500000000000006E-2</v>
      </c>
      <c r="I19">
        <v>9.7500000000000003E-2</v>
      </c>
      <c r="J19">
        <v>0.11773999999999998</v>
      </c>
      <c r="K19">
        <v>0.10656635192181697</v>
      </c>
      <c r="L19">
        <v>0.1152349856775769</v>
      </c>
      <c r="M19">
        <v>0.13873888414237584</v>
      </c>
      <c r="N19">
        <v>7.3937607726535931E-2</v>
      </c>
      <c r="O19">
        <v>7.2606779671754898E-2</v>
      </c>
      <c r="P19">
        <v>7.4138816737767899E-2</v>
      </c>
      <c r="Q19">
        <v>0.12942351282468095</v>
      </c>
      <c r="R19">
        <v>9.5056407657934314E-2</v>
      </c>
    </row>
    <row r="20" spans="2:18">
      <c r="B20" t="s">
        <v>98</v>
      </c>
      <c r="C20">
        <v>9.7500000000000017E-2</v>
      </c>
      <c r="D20">
        <v>6.7500000000000004E-2</v>
      </c>
      <c r="E20">
        <v>0.06</v>
      </c>
      <c r="F20">
        <v>0.09</v>
      </c>
      <c r="G20">
        <v>0.09</v>
      </c>
      <c r="H20">
        <v>9.7500000000000003E-2</v>
      </c>
      <c r="I20">
        <v>9.7500000000000003E-2</v>
      </c>
      <c r="J20">
        <v>0.11773999999999998</v>
      </c>
      <c r="K20">
        <v>0.10656635192181697</v>
      </c>
      <c r="L20">
        <v>8.6426239258182672E-2</v>
      </c>
      <c r="M20">
        <v>9.028044717206947E-2</v>
      </c>
      <c r="N20">
        <v>6.4150439435418039E-2</v>
      </c>
      <c r="O20">
        <v>6.2995773939031607E-2</v>
      </c>
      <c r="P20">
        <v>6.4325014281504972E-2</v>
      </c>
      <c r="Q20">
        <v>0.20711819215360386</v>
      </c>
      <c r="R20">
        <v>0.23492692770782936</v>
      </c>
    </row>
    <row r="21" spans="2:18">
      <c r="B21" t="s">
        <v>68</v>
      </c>
      <c r="C21">
        <v>1.0500000000000002E-2</v>
      </c>
      <c r="D21">
        <v>4.500000000000004E-3</v>
      </c>
      <c r="E21">
        <v>3.7500000000000033E-3</v>
      </c>
      <c r="F21">
        <v>1.0499999999999995E-2</v>
      </c>
      <c r="G21">
        <v>1.0500000000000001E-2</v>
      </c>
      <c r="H21">
        <v>9.0000000000000011E-3</v>
      </c>
      <c r="I21">
        <v>9.0000000000000011E-3</v>
      </c>
      <c r="J21">
        <v>9.5199999999999989E-3</v>
      </c>
      <c r="K21">
        <v>8.5919922728781434E-3</v>
      </c>
      <c r="L21">
        <v>6.9681805418751368E-3</v>
      </c>
      <c r="M21">
        <v>8.389445160233917E-3</v>
      </c>
      <c r="N21">
        <v>5.9612752318627038E-3</v>
      </c>
      <c r="O21">
        <v>5.8539762190223561E-3</v>
      </c>
      <c r="P21">
        <v>5.9774978597237644E-3</v>
      </c>
      <c r="Q21">
        <v>1.0345766699151613E-2</v>
      </c>
      <c r="R21">
        <v>8.7665041420518092E-3</v>
      </c>
    </row>
    <row r="22" spans="2:18">
      <c r="B22" t="s">
        <v>101</v>
      </c>
      <c r="C22">
        <v>0.18</v>
      </c>
      <c r="D22">
        <v>9.7500000000000017E-2</v>
      </c>
      <c r="E22">
        <v>9.0000000000000011E-2</v>
      </c>
      <c r="F22">
        <v>0.09</v>
      </c>
      <c r="G22">
        <v>0.15000000000000002</v>
      </c>
      <c r="H22">
        <v>0.13500000000000001</v>
      </c>
      <c r="I22">
        <v>0.13500000000000001</v>
      </c>
      <c r="J22">
        <v>0.1414</v>
      </c>
      <c r="K22">
        <v>0.12798221325869236</v>
      </c>
      <c r="L22">
        <v>7.4985942846148873E-2</v>
      </c>
      <c r="M22">
        <v>9.028044717206947E-2</v>
      </c>
      <c r="N22">
        <v>6.4150439435418039E-2</v>
      </c>
      <c r="O22">
        <v>9.6809039562339869E-2</v>
      </c>
      <c r="P22">
        <v>9.8851755650357198E-2</v>
      </c>
      <c r="Q22">
        <v>0.15538935865784578</v>
      </c>
      <c r="R22">
        <v>0.13166945436885658</v>
      </c>
    </row>
    <row r="23" spans="2:18">
      <c r="B23" t="s">
        <v>71</v>
      </c>
      <c r="C23" t="s">
        <v>799</v>
      </c>
      <c r="D23" t="s">
        <v>799</v>
      </c>
      <c r="E23" t="s">
        <v>799</v>
      </c>
      <c r="F23" t="s">
        <v>799</v>
      </c>
      <c r="G23" t="s">
        <v>799</v>
      </c>
      <c r="H23">
        <v>8.2500000000000004E-2</v>
      </c>
      <c r="I23" t="s">
        <v>799</v>
      </c>
      <c r="J23" t="s">
        <v>799</v>
      </c>
      <c r="K23" t="s">
        <v>799</v>
      </c>
      <c r="L23" t="s">
        <v>799</v>
      </c>
      <c r="M23">
        <v>6.2482584103831722E-2</v>
      </c>
      <c r="N23">
        <v>5.4274296887108192E-2</v>
      </c>
      <c r="O23">
        <v>5.3297395426919955E-2</v>
      </c>
      <c r="P23">
        <v>4.451897659704715E-2</v>
      </c>
      <c r="Q23">
        <v>7.7694679328922892E-2</v>
      </c>
      <c r="R23">
        <v>6.5834727184428288E-2</v>
      </c>
    </row>
    <row r="24" spans="2:18">
      <c r="B24" t="s">
        <v>104</v>
      </c>
      <c r="C24">
        <v>0</v>
      </c>
      <c r="D24">
        <v>9.0000000000000011E-3</v>
      </c>
      <c r="E24">
        <v>7.4999999999999997E-3</v>
      </c>
      <c r="F24">
        <v>7.5000000000000067E-3</v>
      </c>
      <c r="G24">
        <v>7.4999999999999997E-3</v>
      </c>
      <c r="H24">
        <v>9.0000000000000011E-3</v>
      </c>
      <c r="I24">
        <v>1.0500000000000001E-2</v>
      </c>
      <c r="J24">
        <v>1.3299999999999999E-2</v>
      </c>
      <c r="K24">
        <v>1.2054436920157396E-2</v>
      </c>
      <c r="L24">
        <v>9.7762532975561641E-3</v>
      </c>
      <c r="M24">
        <v>1.1770266344208781E-2</v>
      </c>
      <c r="N24">
        <v>8.36358017604618E-3</v>
      </c>
      <c r="O24">
        <v>8.2130412625089771E-3</v>
      </c>
      <c r="P24">
        <v>8.3863402808064744E-3</v>
      </c>
      <c r="Q24">
        <v>1.4605788281155217E-2</v>
      </c>
      <c r="R24">
        <v>1.2376241141720201E-2</v>
      </c>
    </row>
    <row r="25" spans="2:18">
      <c r="B25" t="s">
        <v>766</v>
      </c>
      <c r="C25">
        <v>0.13500000000000001</v>
      </c>
      <c r="D25">
        <v>8.2500000000000004E-2</v>
      </c>
      <c r="E25">
        <v>0.06</v>
      </c>
      <c r="F25">
        <v>0.06</v>
      </c>
      <c r="G25">
        <v>4.8750000000000002E-2</v>
      </c>
      <c r="H25">
        <v>5.3999999999999992E-2</v>
      </c>
      <c r="I25">
        <v>5.3999999999999992E-2</v>
      </c>
      <c r="J25">
        <v>5.6559999999999992E-2</v>
      </c>
      <c r="K25">
        <v>5.1167237565348946E-2</v>
      </c>
      <c r="L25">
        <v>4.1497075167286269E-2</v>
      </c>
      <c r="M25">
        <v>4.9961024163184084E-2</v>
      </c>
      <c r="N25">
        <v>3.5500728619600283E-2</v>
      </c>
      <c r="O25">
        <v>5.3297395426919955E-2</v>
      </c>
      <c r="P25">
        <v>5.4421995439276061E-2</v>
      </c>
      <c r="Q25">
        <v>9.4937623827508935E-2</v>
      </c>
      <c r="R25">
        <v>0.10966724789468733</v>
      </c>
    </row>
    <row r="26" spans="2:18">
      <c r="B26" t="s">
        <v>92</v>
      </c>
      <c r="C26">
        <v>0.11249999999999998</v>
      </c>
      <c r="D26">
        <v>8.2500000000000004E-2</v>
      </c>
      <c r="E26">
        <v>7.4999999999999997E-2</v>
      </c>
      <c r="F26">
        <v>7.5000000000000011E-2</v>
      </c>
      <c r="G26">
        <v>0.09</v>
      </c>
      <c r="H26">
        <v>9.7500000000000003E-2</v>
      </c>
      <c r="I26">
        <v>9.7500000000000003E-2</v>
      </c>
      <c r="J26">
        <v>0.10206</v>
      </c>
      <c r="K26">
        <v>9.2460095951420018E-2</v>
      </c>
      <c r="L26">
        <v>7.4985942846148873E-2</v>
      </c>
      <c r="M26">
        <v>9.028044717206947E-2</v>
      </c>
      <c r="N26">
        <v>6.4150439435418039E-2</v>
      </c>
      <c r="O26">
        <v>6.2995773939031607E-2</v>
      </c>
      <c r="P26">
        <v>6.4325014281504972E-2</v>
      </c>
      <c r="Q26">
        <v>0.11218056832609494</v>
      </c>
      <c r="R26">
        <v>9.5056407657934314E-2</v>
      </c>
    </row>
    <row r="27" spans="2:18">
      <c r="B27" t="s">
        <v>124</v>
      </c>
      <c r="C27">
        <v>2.1000000000000005E-2</v>
      </c>
      <c r="D27">
        <v>1.575E-2</v>
      </c>
      <c r="E27">
        <v>1.4999999999999999E-2</v>
      </c>
      <c r="F27">
        <v>1.4999999999999999E-2</v>
      </c>
      <c r="G27">
        <v>1.4999999999999999E-2</v>
      </c>
      <c r="H27">
        <v>1.2750000000000001E-2</v>
      </c>
      <c r="I27">
        <v>1.2750000000000001E-2</v>
      </c>
      <c r="J27">
        <v>1.3299999999999999E-2</v>
      </c>
      <c r="K27">
        <v>1.2054436920157396E-2</v>
      </c>
      <c r="L27">
        <v>9.7762532975561641E-3</v>
      </c>
      <c r="M27">
        <v>1.1770266344208781E-2</v>
      </c>
      <c r="N27">
        <v>8.36358017604618E-3</v>
      </c>
      <c r="O27">
        <v>8.2130412625089771E-3</v>
      </c>
      <c r="P27">
        <v>1.1865779333481504E-2</v>
      </c>
      <c r="Q27">
        <v>2.0691533398303225E-2</v>
      </c>
      <c r="R27">
        <v>1.7533008284103618E-2</v>
      </c>
    </row>
    <row r="28" spans="2:18">
      <c r="B28" t="s">
        <v>109</v>
      </c>
      <c r="C28">
        <v>4.4999999999999998E-2</v>
      </c>
      <c r="D28">
        <v>0.03</v>
      </c>
      <c r="E28">
        <v>0.03</v>
      </c>
      <c r="F28">
        <v>2.6249999999999996E-2</v>
      </c>
      <c r="G28">
        <v>2.6250000000000002E-2</v>
      </c>
      <c r="H28">
        <v>2.8499999999999998E-2</v>
      </c>
      <c r="I28">
        <v>2.8499999999999998E-2</v>
      </c>
      <c r="J28">
        <v>4.718E-2</v>
      </c>
      <c r="K28">
        <v>4.2703483983110774E-2</v>
      </c>
      <c r="L28">
        <v>3.4632897320065976E-2</v>
      </c>
      <c r="M28">
        <v>4.1696794602356632E-2</v>
      </c>
      <c r="N28">
        <v>2.962842764492955E-2</v>
      </c>
      <c r="O28">
        <v>2.9095135536334988E-2</v>
      </c>
      <c r="P28">
        <v>2.9709056526686765E-2</v>
      </c>
      <c r="Q28">
        <v>5.193169166632966E-2</v>
      </c>
      <c r="R28">
        <v>4.4004412948338498E-2</v>
      </c>
    </row>
    <row r="29" spans="2:18">
      <c r="B29" t="s">
        <v>83</v>
      </c>
      <c r="C29">
        <v>3.8999999999999993E-2</v>
      </c>
      <c r="D29">
        <v>0.03</v>
      </c>
      <c r="E29">
        <v>0.03</v>
      </c>
      <c r="F29">
        <v>2.6249999999999996E-2</v>
      </c>
      <c r="G29">
        <v>2.6250000000000002E-2</v>
      </c>
      <c r="H29">
        <v>2.8499999999999998E-2</v>
      </c>
      <c r="I29">
        <v>2.8499999999999998E-2</v>
      </c>
      <c r="J29">
        <v>2.9819999999999996E-2</v>
      </c>
      <c r="K29">
        <v>2.7058363725034153E-2</v>
      </c>
      <c r="L29">
        <v>2.1944568572173941E-2</v>
      </c>
      <c r="M29">
        <v>2.6420491474766512E-2</v>
      </c>
      <c r="N29">
        <v>1.8773568267507916E-2</v>
      </c>
      <c r="O29">
        <v>1.5464981951745628E-2</v>
      </c>
      <c r="P29">
        <v>1.5791300315986662E-2</v>
      </c>
      <c r="Q29">
        <v>2.758871119773763E-2</v>
      </c>
      <c r="R29">
        <v>2.3377344378804822E-2</v>
      </c>
    </row>
    <row r="30" spans="2:18">
      <c r="B30" t="s">
        <v>77</v>
      </c>
      <c r="C30" t="s">
        <v>799</v>
      </c>
      <c r="D30" t="s">
        <v>799</v>
      </c>
      <c r="E30" t="s">
        <v>799</v>
      </c>
      <c r="F30" t="s">
        <v>799</v>
      </c>
      <c r="G30" t="s">
        <v>799</v>
      </c>
      <c r="H30">
        <v>8.2500000000000004E-2</v>
      </c>
      <c r="I30">
        <v>9.7500000000000003E-2</v>
      </c>
      <c r="J30">
        <v>0.10206</v>
      </c>
      <c r="K30">
        <v>9.2460095951420018E-2</v>
      </c>
      <c r="L30">
        <v>6.3441643739460193E-2</v>
      </c>
      <c r="M30">
        <v>7.6381515637950578E-2</v>
      </c>
      <c r="N30">
        <v>5.4274296887108192E-2</v>
      </c>
      <c r="O30">
        <v>5.3297395426919955E-2</v>
      </c>
      <c r="P30">
        <v>5.4421995439276061E-2</v>
      </c>
      <c r="Q30">
        <v>0.12942351282468095</v>
      </c>
      <c r="R30">
        <v>0.10966724789468733</v>
      </c>
    </row>
    <row r="31" spans="2:18">
      <c r="B31" t="s">
        <v>363</v>
      </c>
      <c r="C31">
        <v>0.11249999999999998</v>
      </c>
      <c r="D31">
        <v>8.2500000000000004E-2</v>
      </c>
      <c r="E31">
        <v>7.4999999999999997E-2</v>
      </c>
      <c r="F31">
        <v>7.5000000000000011E-2</v>
      </c>
      <c r="G31">
        <v>7.5000000000000011E-2</v>
      </c>
      <c r="H31">
        <v>8.2500000000000004E-2</v>
      </c>
      <c r="I31">
        <v>8.2500000000000004E-2</v>
      </c>
      <c r="J31">
        <v>8.6379999999999998E-2</v>
      </c>
      <c r="K31">
        <v>7.8225601290383098E-2</v>
      </c>
      <c r="L31">
        <v>6.3441643739460193E-2</v>
      </c>
      <c r="M31">
        <v>7.6381515637950578E-2</v>
      </c>
      <c r="N31">
        <v>5.4274296887108192E-2</v>
      </c>
      <c r="O31">
        <v>5.3297395426919955E-2</v>
      </c>
      <c r="P31">
        <v>5.4421995439276061E-2</v>
      </c>
      <c r="Q31">
        <v>9.4937623827508935E-2</v>
      </c>
      <c r="R31">
        <v>8.0445567421181308E-2</v>
      </c>
    </row>
    <row r="32" spans="2:18">
      <c r="B32" t="s">
        <v>147</v>
      </c>
      <c r="C32" t="s">
        <v>799</v>
      </c>
      <c r="D32" t="s">
        <v>799</v>
      </c>
      <c r="E32" t="s">
        <v>799</v>
      </c>
      <c r="F32" t="s">
        <v>799</v>
      </c>
      <c r="G32" t="s">
        <v>799</v>
      </c>
      <c r="H32">
        <v>8.2500000000000004E-2</v>
      </c>
      <c r="I32">
        <v>8.2500000000000004E-2</v>
      </c>
      <c r="J32">
        <v>8.6379999999999998E-2</v>
      </c>
      <c r="K32">
        <v>7.8225601290383098E-2</v>
      </c>
      <c r="L32">
        <v>6.3441643739460193E-2</v>
      </c>
      <c r="M32">
        <v>7.6381515637950578E-2</v>
      </c>
      <c r="N32">
        <v>5.4274296887108192E-2</v>
      </c>
      <c r="O32">
        <v>5.3297395426919955E-2</v>
      </c>
      <c r="P32">
        <v>5.4421995439276061E-2</v>
      </c>
      <c r="Q32">
        <v>9.4937623827508935E-2</v>
      </c>
      <c r="R32">
        <v>0.10966724789468733</v>
      </c>
    </row>
    <row r="33" spans="2:18">
      <c r="B33" t="s">
        <v>130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2:18">
      <c r="B34" t="s">
        <v>784</v>
      </c>
      <c r="C34" t="s">
        <v>799</v>
      </c>
      <c r="D34" t="s">
        <v>799</v>
      </c>
      <c r="E34" t="s">
        <v>799</v>
      </c>
      <c r="F34" t="s">
        <v>799</v>
      </c>
      <c r="G34" t="s">
        <v>799</v>
      </c>
      <c r="H34">
        <v>8.2500000000000004E-2</v>
      </c>
      <c r="I34">
        <v>8.2500000000000004E-2</v>
      </c>
      <c r="J34">
        <v>8.6379999999999998E-2</v>
      </c>
      <c r="K34">
        <v>7.8225601290383098E-2</v>
      </c>
      <c r="L34">
        <v>6.3441643739460193E-2</v>
      </c>
      <c r="M34">
        <v>7.6381515637950578E-2</v>
      </c>
      <c r="N34">
        <v>5.4274296887108192E-2</v>
      </c>
      <c r="O34">
        <v>5.3297395426919955E-2</v>
      </c>
      <c r="P34">
        <v>6.4325014281504972E-2</v>
      </c>
      <c r="Q34">
        <v>0.11218056832609494</v>
      </c>
      <c r="R34">
        <v>9.5056407657934314E-2</v>
      </c>
    </row>
    <row r="35" spans="2:18">
      <c r="B35" t="s">
        <v>177</v>
      </c>
      <c r="C35">
        <v>1.8000000000000002E-2</v>
      </c>
      <c r="D35">
        <v>1.1249999999999996E-2</v>
      </c>
      <c r="E35">
        <v>1.0500000000000002E-2</v>
      </c>
      <c r="F35">
        <v>1.0499999999999995E-2</v>
      </c>
      <c r="G35">
        <v>1.0500000000000001E-2</v>
      </c>
      <c r="H35">
        <v>9.0000000000000011E-3</v>
      </c>
      <c r="I35">
        <v>9.0000000000000011E-3</v>
      </c>
      <c r="J35">
        <v>9.5199999999999989E-3</v>
      </c>
      <c r="K35">
        <v>8.5919922728781434E-3</v>
      </c>
      <c r="L35">
        <v>6.9681805418751368E-3</v>
      </c>
      <c r="M35">
        <v>8.389445160233917E-3</v>
      </c>
      <c r="N35">
        <v>5.9612752318627038E-3</v>
      </c>
      <c r="O35">
        <v>5.8539762190223561E-3</v>
      </c>
      <c r="P35">
        <v>5.9774978597237644E-3</v>
      </c>
      <c r="Q35">
        <v>1.0345766699151613E-2</v>
      </c>
      <c r="R35">
        <v>8.7665041420518092E-3</v>
      </c>
    </row>
    <row r="36" spans="2:18">
      <c r="B36" t="s">
        <v>139</v>
      </c>
      <c r="C36">
        <v>2.1000000000000005E-2</v>
      </c>
      <c r="D36">
        <v>1.3499999999999998E-2</v>
      </c>
      <c r="E36">
        <v>1.0500000000000002E-2</v>
      </c>
      <c r="F36">
        <v>1.0499999999999995E-2</v>
      </c>
      <c r="G36">
        <v>1.0500000000000001E-2</v>
      </c>
      <c r="H36">
        <v>9.0000000000000011E-3</v>
      </c>
      <c r="I36">
        <v>9.0000000000000011E-3</v>
      </c>
      <c r="J36">
        <v>9.5199999999999989E-3</v>
      </c>
      <c r="K36">
        <v>8.5919922728781434E-3</v>
      </c>
      <c r="L36">
        <v>6.9681805418751368E-3</v>
      </c>
      <c r="M36">
        <v>9.7668167537051567E-3</v>
      </c>
      <c r="N36">
        <v>6.9399920609744909E-3</v>
      </c>
      <c r="O36">
        <v>6.8150767922946836E-3</v>
      </c>
      <c r="P36">
        <v>6.958878105350055E-3</v>
      </c>
      <c r="Q36">
        <v>1.4605788281155217E-2</v>
      </c>
      <c r="R36">
        <v>1.2376241141720201E-2</v>
      </c>
    </row>
    <row r="37" spans="2:18">
      <c r="B37" t="s">
        <v>142</v>
      </c>
      <c r="C37">
        <v>2.1000000000000005E-2</v>
      </c>
      <c r="D37">
        <v>1.3499999999999998E-2</v>
      </c>
      <c r="E37">
        <v>1.0500000000000002E-2</v>
      </c>
      <c r="F37">
        <v>1.0499999999999995E-2</v>
      </c>
      <c r="G37">
        <v>1.0500000000000001E-2</v>
      </c>
      <c r="H37">
        <v>9.0000000000000011E-3</v>
      </c>
      <c r="I37">
        <v>9.0000000000000011E-3</v>
      </c>
      <c r="J37">
        <v>9.5199999999999989E-3</v>
      </c>
      <c r="K37">
        <v>8.5919922728781434E-3</v>
      </c>
      <c r="L37">
        <v>8.1122101830785175E-3</v>
      </c>
      <c r="M37">
        <v>9.7668167537051567E-3</v>
      </c>
      <c r="N37">
        <v>6.9399920609744909E-3</v>
      </c>
      <c r="O37">
        <v>6.8150767922946836E-3</v>
      </c>
      <c r="P37">
        <v>6.958878105350055E-3</v>
      </c>
      <c r="Q37">
        <v>1.2171490234296015E-2</v>
      </c>
      <c r="R37">
        <v>1.0313534284766834E-2</v>
      </c>
    </row>
    <row r="38" spans="2:18">
      <c r="B38" t="s">
        <v>157</v>
      </c>
      <c r="C38">
        <v>3.8999999999999993E-2</v>
      </c>
      <c r="D38">
        <v>0.03</v>
      </c>
      <c r="E38">
        <v>0.03</v>
      </c>
      <c r="F38">
        <v>0.03</v>
      </c>
      <c r="G38">
        <v>0.03</v>
      </c>
      <c r="H38">
        <v>3.3000000000000002E-2</v>
      </c>
      <c r="I38">
        <v>2.8499999999999998E-2</v>
      </c>
      <c r="J38">
        <v>2.9819999999999996E-2</v>
      </c>
      <c r="K38">
        <v>2.7058363725034153E-2</v>
      </c>
      <c r="L38">
        <v>2.1944568572173941E-2</v>
      </c>
      <c r="M38">
        <v>2.6420491474766512E-2</v>
      </c>
      <c r="N38">
        <v>1.8773568267507916E-2</v>
      </c>
      <c r="O38">
        <v>1.8435656450951004E-2</v>
      </c>
      <c r="P38">
        <v>1.8824657438831559E-2</v>
      </c>
      <c r="Q38">
        <v>3.2863023632599235E-2</v>
      </c>
      <c r="R38">
        <v>2.7846542568870453E-2</v>
      </c>
    </row>
    <row r="39" spans="2:18">
      <c r="B39" t="s">
        <v>785</v>
      </c>
      <c r="C39" t="s">
        <v>799</v>
      </c>
      <c r="D39" t="s">
        <v>799</v>
      </c>
      <c r="E39" t="s">
        <v>799</v>
      </c>
      <c r="F39" t="s">
        <v>799</v>
      </c>
      <c r="G39" t="s">
        <v>799</v>
      </c>
      <c r="H39" t="s">
        <v>799</v>
      </c>
      <c r="I39">
        <v>9.7500000000000003E-2</v>
      </c>
      <c r="J39">
        <v>0.10206</v>
      </c>
      <c r="K39">
        <v>9.2460095951420018E-2</v>
      </c>
      <c r="L39">
        <v>7.4985942846148873E-2</v>
      </c>
      <c r="M39">
        <v>9.028044717206947E-2</v>
      </c>
      <c r="N39">
        <v>7.3937607726535931E-2</v>
      </c>
      <c r="O39">
        <v>7.2606779671754898E-2</v>
      </c>
      <c r="P39">
        <v>7.4138816737767899E-2</v>
      </c>
      <c r="Q39">
        <v>0.11218056832609494</v>
      </c>
      <c r="R39">
        <v>9.5056407657934314E-2</v>
      </c>
    </row>
    <row r="40" spans="2:18">
      <c r="B40" t="s">
        <v>786</v>
      </c>
      <c r="C40" t="s">
        <v>799</v>
      </c>
      <c r="D40" t="s">
        <v>799</v>
      </c>
      <c r="E40" t="s">
        <v>799</v>
      </c>
      <c r="F40" t="s">
        <v>799</v>
      </c>
      <c r="G40" t="s">
        <v>799</v>
      </c>
      <c r="H40" t="s">
        <v>799</v>
      </c>
      <c r="I40">
        <v>5.3999999999999992E-2</v>
      </c>
      <c r="J40">
        <v>8.6379999999999998E-2</v>
      </c>
      <c r="K40">
        <v>9.2460095951420018E-2</v>
      </c>
      <c r="L40">
        <v>0.1037946892655431</v>
      </c>
      <c r="M40">
        <v>0.12496516820766344</v>
      </c>
      <c r="N40">
        <v>8.8796308677596705E-2</v>
      </c>
      <c r="O40">
        <v>8.7198033829616592E-2</v>
      </c>
      <c r="P40">
        <v>8.9037953194094299E-2</v>
      </c>
      <c r="Q40">
        <v>0.15538935865784578</v>
      </c>
      <c r="R40">
        <v>0.13166945436885658</v>
      </c>
    </row>
    <row r="41" spans="2:18">
      <c r="B41" t="s">
        <v>154</v>
      </c>
      <c r="C41" t="s">
        <v>799</v>
      </c>
      <c r="D41" t="s">
        <v>799</v>
      </c>
      <c r="E41" t="s">
        <v>799</v>
      </c>
      <c r="F41" t="s">
        <v>799</v>
      </c>
      <c r="G41" t="s">
        <v>799</v>
      </c>
      <c r="H41">
        <v>6.7500000000000004E-2</v>
      </c>
      <c r="I41">
        <v>6.7500000000000004E-2</v>
      </c>
      <c r="J41">
        <v>7.0699999999999999E-2</v>
      </c>
      <c r="K41">
        <v>0.10656635192181697</v>
      </c>
      <c r="L41">
        <v>5.1897344632771548E-2</v>
      </c>
      <c r="M41">
        <v>6.2482584103831722E-2</v>
      </c>
      <c r="N41">
        <v>4.4398154338798353E-2</v>
      </c>
      <c r="O41">
        <v>4.3599016914808296E-2</v>
      </c>
      <c r="P41">
        <v>4.451897659704715E-2</v>
      </c>
      <c r="Q41">
        <v>7.7694679328922892E-2</v>
      </c>
      <c r="R41">
        <v>6.5834727184428288E-2</v>
      </c>
    </row>
    <row r="42" spans="2:18">
      <c r="B42" t="s">
        <v>165</v>
      </c>
      <c r="C42">
        <v>4.4999999999999998E-2</v>
      </c>
      <c r="D42">
        <v>3.7500000000000006E-2</v>
      </c>
      <c r="E42">
        <v>0.03</v>
      </c>
      <c r="F42">
        <v>0.03</v>
      </c>
      <c r="G42">
        <v>0.03</v>
      </c>
      <c r="H42">
        <v>3.3000000000000002E-2</v>
      </c>
      <c r="I42">
        <v>3.7500000000000006E-2</v>
      </c>
      <c r="J42">
        <v>3.9199999999999999E-2</v>
      </c>
      <c r="K42">
        <v>3.5522117307272325E-2</v>
      </c>
      <c r="L42">
        <v>3.4632897320065976E-2</v>
      </c>
      <c r="M42">
        <v>6.2482584103831722E-2</v>
      </c>
      <c r="N42">
        <v>4.4398154338798353E-2</v>
      </c>
      <c r="O42">
        <v>5.3297395426919955E-2</v>
      </c>
      <c r="P42">
        <v>5.4421995439276061E-2</v>
      </c>
      <c r="Q42">
        <v>9.4937623827508935E-2</v>
      </c>
      <c r="R42">
        <v>6.5834727184428288E-2</v>
      </c>
    </row>
    <row r="43" spans="2:18">
      <c r="B43" s="1" t="s">
        <v>813</v>
      </c>
      <c r="C43" t="s">
        <v>799</v>
      </c>
      <c r="D43" t="s">
        <v>799</v>
      </c>
      <c r="E43" t="s">
        <v>799</v>
      </c>
      <c r="F43" t="s">
        <v>799</v>
      </c>
      <c r="G43" t="s">
        <v>799</v>
      </c>
      <c r="H43" t="s">
        <v>799</v>
      </c>
      <c r="I43">
        <v>6.7500000000000004E-2</v>
      </c>
      <c r="J43">
        <v>5.6559999999999992E-2</v>
      </c>
      <c r="K43">
        <v>5.1167237565348946E-2</v>
      </c>
      <c r="L43">
        <v>4.1497075167286269E-2</v>
      </c>
      <c r="M43">
        <v>4.9961024163184084E-2</v>
      </c>
      <c r="N43">
        <v>3.5500728619600283E-2</v>
      </c>
      <c r="O43">
        <v>3.4861738975968962E-2</v>
      </c>
      <c r="P43">
        <v>3.5597338000444512E-2</v>
      </c>
      <c r="Q43">
        <v>6.2074600194909679E-2</v>
      </c>
      <c r="R43">
        <v>5.2599024852310855E-2</v>
      </c>
    </row>
    <row r="44" spans="2:18">
      <c r="B44" t="s">
        <v>304</v>
      </c>
      <c r="C44">
        <v>3.3750000000000002E-2</v>
      </c>
      <c r="D44">
        <v>0.03</v>
      </c>
      <c r="E44">
        <v>0.03</v>
      </c>
      <c r="F44">
        <v>0.03</v>
      </c>
      <c r="G44">
        <v>0.03</v>
      </c>
      <c r="H44">
        <v>3.7500000000000006E-2</v>
      </c>
      <c r="I44">
        <v>3.7500000000000006E-2</v>
      </c>
      <c r="J44">
        <v>4.718E-2</v>
      </c>
      <c r="K44">
        <v>4.2703483983110774E-2</v>
      </c>
      <c r="L44">
        <v>3.4632897320065976E-2</v>
      </c>
      <c r="M44">
        <v>4.1696794602356632E-2</v>
      </c>
      <c r="N44">
        <v>2.962842764492955E-2</v>
      </c>
      <c r="O44">
        <v>2.4202259890584967E-2</v>
      </c>
      <c r="P44">
        <v>2.47129389125893E-2</v>
      </c>
      <c r="Q44">
        <v>3.2863023632599235E-2</v>
      </c>
      <c r="R44">
        <v>2.7846542568870453E-2</v>
      </c>
    </row>
    <row r="45" spans="2:18">
      <c r="B45" t="s">
        <v>168</v>
      </c>
      <c r="C45">
        <v>0.18</v>
      </c>
      <c r="D45">
        <v>0.11249999999999998</v>
      </c>
      <c r="E45">
        <v>0.10500000000000002</v>
      </c>
      <c r="F45">
        <v>0.10500000000000001</v>
      </c>
      <c r="G45">
        <v>0.10500000000000001</v>
      </c>
      <c r="H45">
        <v>0.11249999999999999</v>
      </c>
      <c r="I45">
        <v>0.13500000000000001</v>
      </c>
      <c r="J45">
        <v>0.1414</v>
      </c>
      <c r="K45">
        <v>0.12798221325869236</v>
      </c>
      <c r="L45">
        <v>0.1037946892655431</v>
      </c>
      <c r="M45">
        <v>0.12496516820766344</v>
      </c>
      <c r="N45">
        <v>8.8796308677596705E-2</v>
      </c>
      <c r="O45">
        <v>8.7198033829616592E-2</v>
      </c>
      <c r="P45">
        <v>0.11865779333481502</v>
      </c>
      <c r="Q45">
        <v>0.20711819215360386</v>
      </c>
      <c r="R45">
        <v>0.17550197507911564</v>
      </c>
    </row>
    <row r="46" spans="2:18">
      <c r="B46" t="s">
        <v>171</v>
      </c>
      <c r="C46" t="s">
        <v>799</v>
      </c>
      <c r="D46" t="s">
        <v>799</v>
      </c>
      <c r="E46" t="s">
        <v>799</v>
      </c>
      <c r="F46" t="s">
        <v>799</v>
      </c>
      <c r="G46" t="s">
        <v>799</v>
      </c>
      <c r="H46">
        <v>6.7500000000000004E-2</v>
      </c>
      <c r="I46">
        <v>1.8000000000000002E-2</v>
      </c>
      <c r="J46">
        <v>1.89E-2</v>
      </c>
      <c r="K46">
        <v>0.10656635192181697</v>
      </c>
      <c r="L46">
        <v>1.3832358389095424E-2</v>
      </c>
      <c r="M46">
        <v>1.665367472106136E-2</v>
      </c>
      <c r="N46">
        <v>1.5748443522980576E-2</v>
      </c>
      <c r="O46">
        <v>1.1620579658656319E-2</v>
      </c>
      <c r="P46">
        <v>1.8824657438831559E-2</v>
      </c>
      <c r="Q46">
        <v>3.2863023632599235E-2</v>
      </c>
      <c r="R46">
        <v>3.2143848520856631E-2</v>
      </c>
    </row>
    <row r="47" spans="2:18">
      <c r="B47" t="s">
        <v>180</v>
      </c>
      <c r="C47">
        <v>1.8000000000000002E-2</v>
      </c>
      <c r="D47">
        <v>1.1249999999999996E-2</v>
      </c>
      <c r="E47">
        <v>1.0500000000000002E-2</v>
      </c>
      <c r="F47">
        <v>0.03</v>
      </c>
      <c r="G47">
        <v>0.09</v>
      </c>
      <c r="H47">
        <v>0.15000000000000002</v>
      </c>
      <c r="I47">
        <v>9.7500000000000003E-2</v>
      </c>
      <c r="J47">
        <v>7.0699999999999999E-2</v>
      </c>
      <c r="K47">
        <v>6.3991106629346178E-2</v>
      </c>
      <c r="L47">
        <v>4.1497075167286269E-2</v>
      </c>
      <c r="M47">
        <v>4.1696794602356632E-2</v>
      </c>
      <c r="N47">
        <v>2.962842764492955E-2</v>
      </c>
      <c r="O47">
        <v>2.9095135536334988E-2</v>
      </c>
      <c r="P47">
        <v>2.47129389125893E-2</v>
      </c>
      <c r="Q47">
        <v>4.3208790331750853E-2</v>
      </c>
      <c r="R47">
        <v>2.7846542568870453E-2</v>
      </c>
    </row>
    <row r="48" spans="2:18">
      <c r="B48" t="s">
        <v>183</v>
      </c>
      <c r="C48" t="s">
        <v>799</v>
      </c>
      <c r="D48" t="s">
        <v>799</v>
      </c>
      <c r="E48">
        <v>1.2749999999999997E-2</v>
      </c>
      <c r="F48" t="s">
        <v>799</v>
      </c>
      <c r="G48" t="s">
        <v>799</v>
      </c>
      <c r="H48">
        <v>1.0500000000000001E-2</v>
      </c>
      <c r="I48">
        <v>1.0500000000000001E-2</v>
      </c>
      <c r="J48">
        <v>1.106E-2</v>
      </c>
      <c r="K48">
        <v>1.0002617869917839E-2</v>
      </c>
      <c r="L48">
        <v>8.1122101830785175E-3</v>
      </c>
      <c r="M48">
        <v>9.7668167537051567E-3</v>
      </c>
      <c r="N48">
        <v>5.9612752318627038E-3</v>
      </c>
      <c r="O48">
        <v>5.8539762190223561E-3</v>
      </c>
      <c r="P48">
        <v>5.9774978597237644E-3</v>
      </c>
      <c r="Q48">
        <v>1.0345766699151613E-2</v>
      </c>
      <c r="R48">
        <v>8.7665041420518092E-3</v>
      </c>
    </row>
    <row r="49" spans="2:18">
      <c r="B49" t="s">
        <v>195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2:18">
      <c r="B50" t="s">
        <v>198</v>
      </c>
      <c r="C50">
        <v>0.11249999999999998</v>
      </c>
      <c r="D50">
        <v>8.2500000000000004E-2</v>
      </c>
      <c r="E50">
        <v>0.06</v>
      </c>
      <c r="F50">
        <v>0.06</v>
      </c>
      <c r="G50">
        <v>0.06</v>
      </c>
      <c r="H50">
        <v>6.7500000000000004E-2</v>
      </c>
      <c r="I50">
        <v>6.7500000000000004E-2</v>
      </c>
      <c r="J50">
        <v>7.0699999999999999E-2</v>
      </c>
      <c r="K50">
        <v>6.3991106629346178E-2</v>
      </c>
      <c r="L50">
        <v>4.1497075167286269E-2</v>
      </c>
      <c r="M50">
        <v>4.9961024163184084E-2</v>
      </c>
      <c r="N50">
        <v>3.5500728619600283E-2</v>
      </c>
      <c r="O50">
        <v>3.4861738975968962E-2</v>
      </c>
      <c r="P50">
        <v>3.5597338000444512E-2</v>
      </c>
      <c r="Q50">
        <v>6.2074600194909679E-2</v>
      </c>
      <c r="R50">
        <v>5.2599024852310855E-2</v>
      </c>
    </row>
    <row r="51" spans="2:18">
      <c r="B51" t="s">
        <v>204</v>
      </c>
      <c r="C51">
        <v>0.27</v>
      </c>
      <c r="D51">
        <v>0.15000000000000002</v>
      </c>
      <c r="E51">
        <v>0.15000000000000002</v>
      </c>
      <c r="F51">
        <v>0.1275</v>
      </c>
      <c r="G51">
        <v>0.10500000000000001</v>
      </c>
      <c r="H51">
        <v>0.11249999999999999</v>
      </c>
      <c r="I51">
        <v>9.7500000000000003E-2</v>
      </c>
      <c r="J51">
        <v>0.10206</v>
      </c>
      <c r="K51">
        <v>9.2460095951420018E-2</v>
      </c>
      <c r="L51">
        <v>7.4985942846148873E-2</v>
      </c>
      <c r="M51">
        <v>9.028044717206947E-2</v>
      </c>
      <c r="N51">
        <v>6.4150439435418039E-2</v>
      </c>
      <c r="O51">
        <v>9.6809039562339869E-2</v>
      </c>
      <c r="P51">
        <v>9.8851755650357198E-2</v>
      </c>
      <c r="Q51">
        <v>0.17263230315643183</v>
      </c>
      <c r="R51">
        <v>0.14628029460560962</v>
      </c>
    </row>
    <row r="52" spans="2:18">
      <c r="B52" t="s">
        <v>207</v>
      </c>
      <c r="C52">
        <v>4.4999999999999998E-2</v>
      </c>
      <c r="D52">
        <v>3.7500000000000006E-2</v>
      </c>
      <c r="E52">
        <v>3.6000000000000004E-2</v>
      </c>
      <c r="F52">
        <v>7.5000000000000011E-2</v>
      </c>
      <c r="G52">
        <v>7.5000000000000011E-2</v>
      </c>
      <c r="H52">
        <v>0.11249999999999999</v>
      </c>
      <c r="I52">
        <v>0.11249999999999999</v>
      </c>
      <c r="J52">
        <v>0.10206</v>
      </c>
      <c r="K52">
        <v>9.2460095951420018E-2</v>
      </c>
      <c r="L52">
        <v>7.4985942846148873E-2</v>
      </c>
      <c r="M52">
        <v>9.028044717206947E-2</v>
      </c>
      <c r="N52">
        <v>5.4274296887108192E-2</v>
      </c>
      <c r="O52">
        <v>5.3297395426919955E-2</v>
      </c>
      <c r="P52">
        <v>5.4421995439276061E-2</v>
      </c>
      <c r="Q52">
        <v>9.4937623827508935E-2</v>
      </c>
      <c r="R52">
        <v>0.10966724789468733</v>
      </c>
    </row>
    <row r="53" spans="2:18">
      <c r="B53" t="s">
        <v>598</v>
      </c>
      <c r="C53">
        <v>3.3750000000000002E-2</v>
      </c>
      <c r="D53">
        <v>0.15000000000000002</v>
      </c>
      <c r="E53">
        <v>0.15000000000000002</v>
      </c>
      <c r="F53">
        <v>4.1250000000000009E-2</v>
      </c>
      <c r="G53">
        <v>4.8750000000000002E-2</v>
      </c>
      <c r="H53">
        <v>5.3999999999999992E-2</v>
      </c>
      <c r="I53">
        <v>5.3999999999999992E-2</v>
      </c>
      <c r="J53">
        <v>5.6559999999999992E-2</v>
      </c>
      <c r="K53">
        <v>9.2460095951420018E-2</v>
      </c>
      <c r="L53">
        <v>8.6426239258182672E-2</v>
      </c>
      <c r="M53">
        <v>0.10405416310678188</v>
      </c>
      <c r="N53">
        <v>6.4150439435418039E-2</v>
      </c>
      <c r="O53">
        <v>6.2995773939031607E-2</v>
      </c>
      <c r="P53">
        <v>7.4138816737767899E-2</v>
      </c>
      <c r="Q53">
        <v>0.17263230315643183</v>
      </c>
      <c r="R53">
        <v>0.14628029460560962</v>
      </c>
    </row>
    <row r="54" spans="2:18">
      <c r="B54" t="s">
        <v>219</v>
      </c>
      <c r="C54">
        <v>2.1000000000000005E-2</v>
      </c>
      <c r="D54">
        <v>1.3499999999999998E-2</v>
      </c>
      <c r="E54">
        <v>1.2749999999999997E-2</v>
      </c>
      <c r="F54">
        <v>1.2749999999999997E-2</v>
      </c>
      <c r="G54">
        <v>1.2750000000000001E-2</v>
      </c>
      <c r="H54">
        <v>1.0500000000000001E-2</v>
      </c>
      <c r="I54">
        <v>1.0500000000000001E-2</v>
      </c>
      <c r="J54">
        <v>1.106E-2</v>
      </c>
      <c r="K54">
        <v>1.0002617869917839E-2</v>
      </c>
      <c r="L54">
        <v>8.1122101830785175E-3</v>
      </c>
      <c r="M54">
        <v>9.7668167537051567E-3</v>
      </c>
      <c r="N54">
        <v>6.9399920609744909E-3</v>
      </c>
      <c r="O54">
        <v>6.8150767922946836E-3</v>
      </c>
      <c r="P54">
        <v>6.958878105350055E-3</v>
      </c>
      <c r="Q54">
        <v>1.2171490234296015E-2</v>
      </c>
      <c r="R54">
        <v>1.0313534284766834E-2</v>
      </c>
    </row>
    <row r="55" spans="2:18">
      <c r="B55" t="s">
        <v>222</v>
      </c>
      <c r="C55" t="s">
        <v>799</v>
      </c>
      <c r="D55" t="s">
        <v>799</v>
      </c>
      <c r="E55" t="s">
        <v>799</v>
      </c>
      <c r="F55" t="s">
        <v>799</v>
      </c>
      <c r="G55" t="s">
        <v>799</v>
      </c>
      <c r="H55" t="s">
        <v>799</v>
      </c>
      <c r="I55">
        <v>6.7500000000000004E-2</v>
      </c>
      <c r="J55">
        <v>7.0699999999999999E-2</v>
      </c>
      <c r="K55">
        <v>6.3991106629346178E-2</v>
      </c>
      <c r="L55">
        <v>5.1897344632771548E-2</v>
      </c>
      <c r="M55">
        <v>6.2482584103831722E-2</v>
      </c>
      <c r="N55">
        <v>4.4398154338798353E-2</v>
      </c>
      <c r="O55">
        <v>5.3297395426919955E-2</v>
      </c>
      <c r="P55">
        <v>8.9037953194094299E-2</v>
      </c>
      <c r="Q55">
        <v>0.15538935865784578</v>
      </c>
      <c r="R55">
        <v>0.13166945436885658</v>
      </c>
    </row>
    <row r="56" spans="2:18">
      <c r="B56" t="s">
        <v>228</v>
      </c>
      <c r="C56" t="s">
        <v>799</v>
      </c>
      <c r="D56" t="s">
        <v>799</v>
      </c>
      <c r="E56" t="s">
        <v>799</v>
      </c>
      <c r="F56" t="s">
        <v>799</v>
      </c>
      <c r="G56" t="s">
        <v>799</v>
      </c>
      <c r="H56">
        <v>6.7500000000000004E-2</v>
      </c>
      <c r="I56">
        <v>6.7500000000000004E-2</v>
      </c>
      <c r="J56">
        <v>7.0699999999999999E-2</v>
      </c>
      <c r="K56">
        <v>6.3991106629346178E-2</v>
      </c>
      <c r="L56">
        <v>4.1497075167286269E-2</v>
      </c>
      <c r="M56">
        <v>4.9961024163184084E-2</v>
      </c>
      <c r="N56">
        <v>3.5500728619600283E-2</v>
      </c>
      <c r="O56">
        <v>3.4861738975968962E-2</v>
      </c>
      <c r="P56">
        <v>4.451897659704715E-2</v>
      </c>
      <c r="Q56">
        <v>7.7694679328922892E-2</v>
      </c>
      <c r="R56">
        <v>6.5834727184428288E-2</v>
      </c>
    </row>
    <row r="57" spans="2:18">
      <c r="B57" t="s">
        <v>225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6.2999999999999992E-3</v>
      </c>
      <c r="K57">
        <v>5.6425023881587809E-3</v>
      </c>
      <c r="L57">
        <v>4.576118564813522E-3</v>
      </c>
      <c r="M57">
        <v>5.5094863738849604E-3</v>
      </c>
      <c r="N57">
        <v>3.9148673164471478E-3</v>
      </c>
      <c r="O57">
        <v>3.8444022930893078E-3</v>
      </c>
      <c r="P57">
        <v>3.925520982505158E-3</v>
      </c>
      <c r="Q57">
        <v>6.8971777994344076E-3</v>
      </c>
      <c r="R57">
        <v>5.8443360947012055E-3</v>
      </c>
    </row>
    <row r="58" spans="2:18">
      <c r="B58" t="s">
        <v>234</v>
      </c>
      <c r="C58">
        <v>0</v>
      </c>
      <c r="D58">
        <v>0</v>
      </c>
      <c r="E58">
        <v>0</v>
      </c>
      <c r="F58">
        <v>0</v>
      </c>
      <c r="G58">
        <v>3.7499999999999999E-3</v>
      </c>
      <c r="H58">
        <v>6.0000000000000001E-3</v>
      </c>
      <c r="I58">
        <v>6.0000000000000001E-3</v>
      </c>
      <c r="J58">
        <v>7.8399999999999997E-3</v>
      </c>
      <c r="K58">
        <v>7.0531279851984751E-3</v>
      </c>
      <c r="L58">
        <v>5.7201482060169036E-3</v>
      </c>
      <c r="M58">
        <v>6.8868579673562009E-3</v>
      </c>
      <c r="N58">
        <v>4.8935841455589359E-3</v>
      </c>
      <c r="O58">
        <v>4.8055028663616358E-3</v>
      </c>
      <c r="P58">
        <v>4.9069012281314477E-3</v>
      </c>
      <c r="Q58">
        <v>8.5200431640072103E-3</v>
      </c>
      <c r="R58">
        <v>7.2194739993367832E-3</v>
      </c>
    </row>
    <row r="59" spans="2:18">
      <c r="B59" t="s">
        <v>243</v>
      </c>
      <c r="C59" t="s">
        <v>799</v>
      </c>
      <c r="D59" t="s">
        <v>799</v>
      </c>
      <c r="E59" t="s">
        <v>799</v>
      </c>
      <c r="F59" t="s">
        <v>799</v>
      </c>
      <c r="G59" t="s">
        <v>799</v>
      </c>
      <c r="H59">
        <v>5.3999999999999992E-2</v>
      </c>
      <c r="I59">
        <v>5.3999999999999992E-2</v>
      </c>
      <c r="J59">
        <v>7.0699999999999999E-2</v>
      </c>
      <c r="K59">
        <v>6.3991106629346178E-2</v>
      </c>
      <c r="L59">
        <v>7.4985942846148873E-2</v>
      </c>
      <c r="M59">
        <v>0.10405416310678188</v>
      </c>
      <c r="N59">
        <v>7.3937607726535931E-2</v>
      </c>
      <c r="O59">
        <v>7.2606779671754898E-2</v>
      </c>
      <c r="P59">
        <v>7.4138816737767899E-2</v>
      </c>
      <c r="Q59">
        <v>0.12942351282468095</v>
      </c>
      <c r="R59">
        <v>0.10966724789468733</v>
      </c>
    </row>
    <row r="60" spans="2:18">
      <c r="B60" t="s">
        <v>249</v>
      </c>
      <c r="C60" t="s">
        <v>799</v>
      </c>
      <c r="D60" t="s">
        <v>799</v>
      </c>
      <c r="E60">
        <v>4.8750000000000002E-2</v>
      </c>
      <c r="F60">
        <v>4.8750000000000002E-2</v>
      </c>
      <c r="G60">
        <v>4.8750000000000002E-2</v>
      </c>
      <c r="H60">
        <v>5.3999999999999992E-2</v>
      </c>
      <c r="I60">
        <v>5.3999999999999992E-2</v>
      </c>
      <c r="J60">
        <v>5.6559999999999992E-2</v>
      </c>
      <c r="K60">
        <v>5.1167237565348946E-2</v>
      </c>
      <c r="L60">
        <v>3.4632897320065976E-2</v>
      </c>
      <c r="M60">
        <v>4.1696794602356632E-2</v>
      </c>
      <c r="N60">
        <v>2.962842764492955E-2</v>
      </c>
      <c r="O60">
        <v>2.9095135536334988E-2</v>
      </c>
      <c r="P60">
        <v>2.9709056526686765E-2</v>
      </c>
      <c r="Q60">
        <v>5.193169166632966E-2</v>
      </c>
      <c r="R60">
        <v>4.4004412948338498E-2</v>
      </c>
    </row>
    <row r="61" spans="2:18">
      <c r="B61" t="s">
        <v>186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2:18">
      <c r="B62" t="s">
        <v>254</v>
      </c>
      <c r="C62" t="s">
        <v>799</v>
      </c>
      <c r="D62" t="s">
        <v>799</v>
      </c>
      <c r="E62" t="s">
        <v>799</v>
      </c>
      <c r="F62" t="s">
        <v>799</v>
      </c>
      <c r="G62" t="s">
        <v>799</v>
      </c>
      <c r="H62">
        <v>6.7500000000000004E-2</v>
      </c>
      <c r="I62">
        <v>8.2500000000000004E-2</v>
      </c>
      <c r="J62">
        <v>0.10206</v>
      </c>
      <c r="K62">
        <v>9.2460095951420018E-2</v>
      </c>
      <c r="L62">
        <v>7.4985942846148873E-2</v>
      </c>
      <c r="M62">
        <v>9.028044717206947E-2</v>
      </c>
      <c r="N62">
        <v>6.4150439435418039E-2</v>
      </c>
      <c r="O62">
        <v>6.2995773939031607E-2</v>
      </c>
      <c r="P62">
        <v>6.4325014281504972E-2</v>
      </c>
      <c r="Q62">
        <v>0.20711819215360386</v>
      </c>
      <c r="R62">
        <v>0.14628029460560962</v>
      </c>
    </row>
    <row r="63" spans="2:18">
      <c r="B63" t="s">
        <v>275</v>
      </c>
      <c r="C63">
        <v>2.1000000000000005E-2</v>
      </c>
      <c r="D63">
        <v>1.575E-2</v>
      </c>
      <c r="E63">
        <v>3.6000000000000004E-2</v>
      </c>
      <c r="F63">
        <v>0.10500000000000001</v>
      </c>
      <c r="G63">
        <v>0.15000000000000002</v>
      </c>
      <c r="H63">
        <v>0.15000000000000002</v>
      </c>
      <c r="I63">
        <v>0.11249999999999999</v>
      </c>
      <c r="J63">
        <v>0.15694</v>
      </c>
      <c r="K63">
        <v>0.1420884692290893</v>
      </c>
      <c r="L63">
        <v>0.1037946892655431</v>
      </c>
      <c r="M63">
        <v>9.028044717206947E-2</v>
      </c>
      <c r="N63">
        <v>4.4398154338798353E-2</v>
      </c>
      <c r="O63">
        <v>3.4861738975968962E-2</v>
      </c>
      <c r="P63">
        <v>3.5597338000444512E-2</v>
      </c>
      <c r="Q63">
        <v>6.2074600194909679E-2</v>
      </c>
      <c r="R63">
        <v>3.6613046710922269E-2</v>
      </c>
    </row>
    <row r="64" spans="2:18">
      <c r="B64" t="s">
        <v>284</v>
      </c>
      <c r="C64">
        <v>4.4999999999999998E-2</v>
      </c>
      <c r="D64">
        <v>3.7500000000000006E-2</v>
      </c>
      <c r="E64">
        <v>3.6000000000000004E-2</v>
      </c>
      <c r="F64">
        <v>3.6000000000000004E-2</v>
      </c>
      <c r="G64">
        <v>3.6000000000000004E-2</v>
      </c>
      <c r="H64">
        <v>3.7500000000000006E-2</v>
      </c>
      <c r="I64">
        <v>3.7500000000000006E-2</v>
      </c>
      <c r="J64">
        <v>3.9199999999999999E-2</v>
      </c>
      <c r="K64">
        <v>3.5522117307272325E-2</v>
      </c>
      <c r="L64">
        <v>2.8808746419394224E-2</v>
      </c>
      <c r="M64">
        <v>3.468472103559396E-2</v>
      </c>
      <c r="N64">
        <v>2.4645869242178643E-2</v>
      </c>
      <c r="O64">
        <v>2.4202259890584967E-2</v>
      </c>
      <c r="P64">
        <v>2.47129389125893E-2</v>
      </c>
      <c r="Q64">
        <v>4.3208790331750853E-2</v>
      </c>
      <c r="R64">
        <v>3.6613046710922269E-2</v>
      </c>
    </row>
    <row r="65" spans="2:18">
      <c r="B65" t="s">
        <v>787</v>
      </c>
      <c r="C65" t="s">
        <v>799</v>
      </c>
      <c r="D65" t="s">
        <v>799</v>
      </c>
      <c r="E65" t="s">
        <v>799</v>
      </c>
      <c r="F65" t="s">
        <v>799</v>
      </c>
      <c r="G65" t="s">
        <v>799</v>
      </c>
      <c r="H65" t="s">
        <v>799</v>
      </c>
      <c r="I65">
        <v>6.0000000000000001E-3</v>
      </c>
      <c r="J65">
        <v>6.2999999999999992E-3</v>
      </c>
      <c r="K65">
        <v>5.6425023881587809E-3</v>
      </c>
      <c r="L65">
        <v>6.9681805418751368E-3</v>
      </c>
      <c r="M65">
        <v>8.389445160233917E-3</v>
      </c>
      <c r="N65">
        <v>1.5748443522980576E-2</v>
      </c>
      <c r="O65">
        <v>0</v>
      </c>
      <c r="P65">
        <v>5.9774978597237644E-3</v>
      </c>
      <c r="Q65">
        <v>0</v>
      </c>
      <c r="R65">
        <v>1.0313534284766834E-2</v>
      </c>
    </row>
    <row r="66" spans="2:18">
      <c r="B66" t="s">
        <v>301</v>
      </c>
      <c r="C66">
        <v>0.11249999999999998</v>
      </c>
      <c r="D66">
        <v>8.2500000000000004E-2</v>
      </c>
      <c r="E66">
        <v>7.4999999999999997E-2</v>
      </c>
      <c r="F66">
        <v>7.5000000000000011E-2</v>
      </c>
      <c r="G66">
        <v>7.5000000000000011E-2</v>
      </c>
      <c r="H66">
        <v>8.2500000000000004E-2</v>
      </c>
      <c r="I66">
        <v>9.7500000000000003E-2</v>
      </c>
      <c r="J66">
        <v>8.6379999999999998E-2</v>
      </c>
      <c r="K66">
        <v>7.8225601290383098E-2</v>
      </c>
      <c r="L66">
        <v>5.1897344632771548E-2</v>
      </c>
      <c r="M66">
        <v>6.2482584103831722E-2</v>
      </c>
      <c r="N66">
        <v>4.4398154338798353E-2</v>
      </c>
      <c r="O66">
        <v>4.3599016914808296E-2</v>
      </c>
      <c r="P66">
        <v>4.451897659704715E-2</v>
      </c>
      <c r="Q66">
        <v>7.7694679328922892E-2</v>
      </c>
      <c r="R66">
        <v>6.5834727184428288E-2</v>
      </c>
    </row>
    <row r="67" spans="2:18">
      <c r="B67" t="s">
        <v>788</v>
      </c>
      <c r="C67">
        <v>1.4999999999999999E-2</v>
      </c>
      <c r="D67">
        <v>9.0000000000000011E-3</v>
      </c>
      <c r="E67">
        <v>3.7500000000000033E-3</v>
      </c>
      <c r="F67">
        <v>3.7500000000000033E-3</v>
      </c>
      <c r="G67">
        <v>3.7499999999999999E-3</v>
      </c>
      <c r="H67">
        <v>6.0000000000000001E-3</v>
      </c>
      <c r="I67">
        <v>6.0000000000000001E-3</v>
      </c>
      <c r="J67">
        <v>6.2999999999999992E-3</v>
      </c>
      <c r="K67">
        <v>5.6425023881587809E-3</v>
      </c>
      <c r="L67">
        <v>5.7201482060169036E-3</v>
      </c>
      <c r="M67">
        <v>6.8868579673562009E-3</v>
      </c>
      <c r="N67">
        <v>4.8935841455589359E-3</v>
      </c>
      <c r="O67">
        <v>5.8539762190223561E-3</v>
      </c>
      <c r="P67">
        <v>5.9774978597237644E-3</v>
      </c>
      <c r="Q67">
        <v>1.0345766699151613E-2</v>
      </c>
      <c r="R67">
        <v>8.7665041420518092E-3</v>
      </c>
    </row>
    <row r="68" spans="2:18">
      <c r="B68" t="s">
        <v>310</v>
      </c>
      <c r="C68">
        <v>2.6250000000000009E-2</v>
      </c>
      <c r="D68">
        <v>2.4000000000000007E-2</v>
      </c>
      <c r="E68">
        <v>0.03</v>
      </c>
      <c r="F68">
        <v>3.6000000000000004E-2</v>
      </c>
      <c r="G68">
        <v>3.6000000000000004E-2</v>
      </c>
      <c r="H68">
        <v>3.7500000000000006E-2</v>
      </c>
      <c r="I68">
        <v>3.7500000000000006E-2</v>
      </c>
      <c r="J68">
        <v>3.9199999999999999E-2</v>
      </c>
      <c r="K68">
        <v>3.1290240516153235E-2</v>
      </c>
      <c r="L68">
        <v>2.5376657495784077E-2</v>
      </c>
      <c r="M68">
        <v>3.0552606255180234E-2</v>
      </c>
      <c r="N68">
        <v>2.1709718754843278E-2</v>
      </c>
      <c r="O68">
        <v>2.1318958170767986E-2</v>
      </c>
      <c r="P68">
        <v>1.8824657438831559E-2</v>
      </c>
      <c r="Q68">
        <v>3.2863023632599235E-2</v>
      </c>
      <c r="R68">
        <v>2.7846542568870453E-2</v>
      </c>
    </row>
    <row r="69" spans="2:18">
      <c r="B69" t="s">
        <v>334</v>
      </c>
      <c r="C69">
        <v>0.03</v>
      </c>
      <c r="D69">
        <v>0.03</v>
      </c>
      <c r="E69">
        <v>0.03</v>
      </c>
      <c r="F69">
        <v>0.03</v>
      </c>
      <c r="G69">
        <v>0.03</v>
      </c>
      <c r="H69">
        <v>3.3000000000000002E-2</v>
      </c>
      <c r="I69">
        <v>3.3000000000000002E-2</v>
      </c>
      <c r="J69">
        <v>2.9819999999999996E-2</v>
      </c>
      <c r="K69">
        <v>1.7055745855116319E-2</v>
      </c>
      <c r="L69">
        <v>1.3832358389095424E-2</v>
      </c>
      <c r="M69">
        <v>1.665367472106136E-2</v>
      </c>
      <c r="N69">
        <v>8.36358017604618E-3</v>
      </c>
      <c r="O69">
        <v>8.2130412625089771E-3</v>
      </c>
      <c r="P69">
        <v>8.3863402808064744E-3</v>
      </c>
      <c r="Q69">
        <v>1.4605788281155217E-2</v>
      </c>
      <c r="R69">
        <v>1.2376241141720201E-2</v>
      </c>
    </row>
    <row r="70" spans="2:18">
      <c r="B70" t="s">
        <v>319</v>
      </c>
      <c r="C70">
        <v>0.06</v>
      </c>
      <c r="D70">
        <v>4.4999999999999998E-2</v>
      </c>
      <c r="E70">
        <v>3.6000000000000004E-2</v>
      </c>
      <c r="F70">
        <v>0.03</v>
      </c>
      <c r="G70">
        <v>0.03</v>
      </c>
      <c r="H70">
        <v>3.3000000000000002E-2</v>
      </c>
      <c r="I70">
        <v>3.3000000000000002E-2</v>
      </c>
      <c r="J70">
        <v>3.458E-2</v>
      </c>
      <c r="K70">
        <v>3.1290240516153235E-2</v>
      </c>
      <c r="L70">
        <v>2.1944568572173941E-2</v>
      </c>
      <c r="M70">
        <v>2.6420491474766512E-2</v>
      </c>
      <c r="N70">
        <v>1.8773568267507916E-2</v>
      </c>
      <c r="O70">
        <v>2.1318958170767986E-2</v>
      </c>
      <c r="P70">
        <v>2.1768798175710428E-2</v>
      </c>
      <c r="Q70">
        <v>3.7934477896889252E-2</v>
      </c>
      <c r="R70">
        <v>3.2143848520856631E-2</v>
      </c>
    </row>
    <row r="71" spans="2:18">
      <c r="B71" t="s">
        <v>313</v>
      </c>
      <c r="C71">
        <v>7.8750000000000001E-2</v>
      </c>
      <c r="D71">
        <v>4.4999999999999998E-2</v>
      </c>
      <c r="E71">
        <v>4.1249999999999995E-2</v>
      </c>
      <c r="F71">
        <v>3.6000000000000004E-2</v>
      </c>
      <c r="G71">
        <v>0.03</v>
      </c>
      <c r="H71">
        <v>3.3000000000000002E-2</v>
      </c>
      <c r="I71">
        <v>3.3000000000000002E-2</v>
      </c>
      <c r="J71">
        <v>3.458E-2</v>
      </c>
      <c r="K71">
        <v>3.1290240516153235E-2</v>
      </c>
      <c r="L71">
        <v>2.5376657495784077E-2</v>
      </c>
      <c r="M71">
        <v>2.6420491474766512E-2</v>
      </c>
      <c r="N71">
        <v>1.8773568267507916E-2</v>
      </c>
      <c r="O71">
        <v>1.8435656450951004E-2</v>
      </c>
      <c r="P71">
        <v>1.8824657438831559E-2</v>
      </c>
      <c r="Q71">
        <v>3.2863023632599235E-2</v>
      </c>
      <c r="R71">
        <v>2.7846542568870453E-2</v>
      </c>
    </row>
    <row r="72" spans="2:18">
      <c r="B72" t="s">
        <v>331</v>
      </c>
      <c r="C72" t="s">
        <v>799</v>
      </c>
      <c r="D72" t="s">
        <v>799</v>
      </c>
      <c r="E72" t="s">
        <v>799</v>
      </c>
      <c r="F72" t="s">
        <v>799</v>
      </c>
      <c r="G72" t="s">
        <v>799</v>
      </c>
      <c r="H72" t="s">
        <v>799</v>
      </c>
      <c r="I72" t="s">
        <v>799</v>
      </c>
      <c r="J72">
        <v>0.10206</v>
      </c>
      <c r="K72">
        <v>9.2460095951420018E-2</v>
      </c>
      <c r="L72">
        <v>8.6426239258182672E-2</v>
      </c>
      <c r="M72">
        <v>0.10405416310678188</v>
      </c>
      <c r="N72">
        <v>7.3937607726535931E-2</v>
      </c>
      <c r="O72">
        <v>7.2606779671754898E-2</v>
      </c>
      <c r="P72">
        <v>7.4138816737767899E-2</v>
      </c>
      <c r="Q72">
        <v>0.12942351282468095</v>
      </c>
      <c r="R72">
        <v>0.10966724789468733</v>
      </c>
    </row>
    <row r="73" spans="2:18">
      <c r="B73" t="s">
        <v>325</v>
      </c>
      <c r="C73">
        <v>0</v>
      </c>
      <c r="D73">
        <v>4.500000000000004E-3</v>
      </c>
      <c r="E73">
        <v>2.2500000000000006E-2</v>
      </c>
      <c r="F73">
        <v>3.6000000000000004E-2</v>
      </c>
      <c r="G73">
        <v>3.6000000000000004E-2</v>
      </c>
      <c r="H73">
        <v>3.7500000000000006E-2</v>
      </c>
      <c r="I73">
        <v>2.4E-2</v>
      </c>
      <c r="J73">
        <v>1.89E-2</v>
      </c>
      <c r="K73">
        <v>1.7055745855116319E-2</v>
      </c>
      <c r="L73">
        <v>9.7762532975561641E-3</v>
      </c>
      <c r="M73">
        <v>1.1770266344208781E-2</v>
      </c>
      <c r="N73">
        <v>8.36358017604618E-3</v>
      </c>
      <c r="O73">
        <v>8.2130412625089771E-3</v>
      </c>
      <c r="P73">
        <v>8.3863402808064744E-3</v>
      </c>
      <c r="Q73">
        <v>1.2171490234296015E-2</v>
      </c>
      <c r="R73">
        <v>8.7665041420518092E-3</v>
      </c>
    </row>
    <row r="74" spans="2:18">
      <c r="B74" t="s">
        <v>316</v>
      </c>
      <c r="C74">
        <v>0</v>
      </c>
      <c r="D74">
        <v>0</v>
      </c>
      <c r="E74">
        <v>0</v>
      </c>
      <c r="F74">
        <v>0</v>
      </c>
      <c r="G74">
        <v>0</v>
      </c>
      <c r="H74">
        <v>6.0000000000000001E-3</v>
      </c>
      <c r="I74">
        <v>6.0000000000000001E-3</v>
      </c>
      <c r="J74">
        <v>6.2999999999999992E-3</v>
      </c>
      <c r="K74">
        <v>5.6425023881587809E-3</v>
      </c>
      <c r="L74">
        <v>5.7201482060169036E-3</v>
      </c>
      <c r="M74">
        <v>6.8868579673562009E-3</v>
      </c>
      <c r="N74">
        <v>4.8935841455589359E-3</v>
      </c>
      <c r="O74">
        <v>5.8539762190223561E-3</v>
      </c>
      <c r="P74">
        <v>5.9774978597237644E-3</v>
      </c>
      <c r="Q74">
        <v>1.0345766699151613E-2</v>
      </c>
      <c r="R74">
        <v>8.7665041420518092E-3</v>
      </c>
    </row>
    <row r="75" spans="2:18">
      <c r="B75" t="s">
        <v>337</v>
      </c>
      <c r="C75">
        <v>2.1000000000000005E-2</v>
      </c>
      <c r="D75">
        <v>1.3499999999999998E-2</v>
      </c>
      <c r="E75">
        <v>1.2749999999999997E-2</v>
      </c>
      <c r="F75">
        <v>1.2749999999999997E-2</v>
      </c>
      <c r="G75">
        <v>1.2750000000000001E-2</v>
      </c>
      <c r="H75">
        <v>1.0500000000000001E-2</v>
      </c>
      <c r="I75">
        <v>1.0500000000000001E-2</v>
      </c>
      <c r="J75">
        <v>1.106E-2</v>
      </c>
      <c r="K75">
        <v>1.0002617869917839E-2</v>
      </c>
      <c r="L75">
        <v>8.1122101830785175E-3</v>
      </c>
      <c r="M75">
        <v>9.7668167537051567E-3</v>
      </c>
      <c r="N75">
        <v>6.9399920609744909E-3</v>
      </c>
      <c r="O75">
        <v>6.8150767922946836E-3</v>
      </c>
      <c r="P75">
        <v>6.958878105350055E-3</v>
      </c>
      <c r="Q75">
        <v>1.2171490234296015E-2</v>
      </c>
      <c r="R75">
        <v>1.0313534284766834E-2</v>
      </c>
    </row>
    <row r="76" spans="2:18">
      <c r="B76" t="s">
        <v>340</v>
      </c>
      <c r="C76">
        <v>1.4999999999999999E-2</v>
      </c>
      <c r="D76">
        <v>9.0000000000000011E-3</v>
      </c>
      <c r="E76">
        <v>7.4999999999999997E-3</v>
      </c>
      <c r="F76">
        <v>1.4999999999999999E-2</v>
      </c>
      <c r="G76">
        <v>2.6250000000000002E-2</v>
      </c>
      <c r="H76">
        <v>2.8499999999999998E-2</v>
      </c>
      <c r="I76">
        <v>2.8499999999999998E-2</v>
      </c>
      <c r="J76">
        <v>2.9819999999999996E-2</v>
      </c>
      <c r="K76">
        <v>2.7058363725034153E-2</v>
      </c>
      <c r="L76">
        <v>2.1944568572173941E-2</v>
      </c>
      <c r="M76">
        <v>3.0552606255180234E-2</v>
      </c>
      <c r="N76">
        <v>2.1709718754843278E-2</v>
      </c>
      <c r="O76">
        <v>2.1318958170767986E-2</v>
      </c>
      <c r="P76">
        <v>2.1768798175710428E-2</v>
      </c>
      <c r="Q76">
        <v>3.7934477896889252E-2</v>
      </c>
      <c r="R76">
        <v>3.2143848520856631E-2</v>
      </c>
    </row>
    <row r="77" spans="2:18">
      <c r="B77" t="s">
        <v>343</v>
      </c>
      <c r="C77">
        <v>0.06</v>
      </c>
      <c r="D77">
        <v>0.11249999999999998</v>
      </c>
      <c r="E77">
        <v>9.0000000000000011E-2</v>
      </c>
      <c r="F77">
        <v>0.09</v>
      </c>
      <c r="G77">
        <v>0.09</v>
      </c>
      <c r="H77">
        <v>0.15000000000000002</v>
      </c>
      <c r="I77">
        <v>0.15000000000000002</v>
      </c>
      <c r="J77">
        <v>0.1414</v>
      </c>
      <c r="K77">
        <v>9.2460095951420018E-2</v>
      </c>
      <c r="L77">
        <v>7.4985942846148873E-2</v>
      </c>
      <c r="M77">
        <v>9.028044717206947E-2</v>
      </c>
      <c r="N77">
        <v>5.4274296887108192E-2</v>
      </c>
      <c r="O77">
        <v>5.3297395426919955E-2</v>
      </c>
      <c r="P77">
        <v>5.4421995439276061E-2</v>
      </c>
      <c r="Q77">
        <v>9.4937623827508935E-2</v>
      </c>
      <c r="R77">
        <v>6.5834727184428288E-2</v>
      </c>
    </row>
    <row r="78" spans="2:18">
      <c r="B78" t="s">
        <v>351</v>
      </c>
      <c r="C78">
        <v>1.8000000000000002E-2</v>
      </c>
      <c r="D78">
        <v>9.0000000000000011E-3</v>
      </c>
      <c r="E78">
        <v>7.4999999999999997E-3</v>
      </c>
      <c r="F78">
        <v>1.0499999999999995E-2</v>
      </c>
      <c r="G78">
        <v>1.0500000000000001E-2</v>
      </c>
      <c r="H78">
        <v>9.0000000000000011E-3</v>
      </c>
      <c r="I78">
        <v>1.0500000000000001E-2</v>
      </c>
      <c r="J78">
        <v>1.106E-2</v>
      </c>
      <c r="K78">
        <v>1.0002617869917839E-2</v>
      </c>
      <c r="L78">
        <v>8.1122101830785175E-3</v>
      </c>
      <c r="M78">
        <v>9.7668167537051567E-3</v>
      </c>
      <c r="N78">
        <v>6.9399920609744909E-3</v>
      </c>
      <c r="O78">
        <v>6.8150767922946836E-3</v>
      </c>
      <c r="P78">
        <v>6.958878105350055E-3</v>
      </c>
      <c r="Q78">
        <v>1.2171490234296015E-2</v>
      </c>
      <c r="R78">
        <v>1.0313534284766834E-2</v>
      </c>
    </row>
    <row r="79" spans="2:18">
      <c r="B79" t="s">
        <v>789</v>
      </c>
      <c r="C79" t="s">
        <v>799</v>
      </c>
      <c r="D79" t="s">
        <v>799</v>
      </c>
      <c r="E79" t="s">
        <v>799</v>
      </c>
      <c r="F79" t="s">
        <v>799</v>
      </c>
      <c r="G79" t="s">
        <v>799</v>
      </c>
      <c r="H79" t="s">
        <v>799</v>
      </c>
      <c r="I79">
        <v>6.0000000000000001E-3</v>
      </c>
      <c r="J79">
        <v>6.2999999999999992E-3</v>
      </c>
      <c r="K79">
        <v>0.10656635192181697</v>
      </c>
      <c r="L79">
        <v>6.9681805418751368E-3</v>
      </c>
      <c r="M79">
        <v>8.389445160233917E-3</v>
      </c>
      <c r="N79">
        <v>6.9399920609744909E-3</v>
      </c>
      <c r="O79">
        <v>0</v>
      </c>
      <c r="P79">
        <v>0</v>
      </c>
      <c r="Q79">
        <v>0</v>
      </c>
      <c r="R79">
        <v>8.7665041420518092E-3</v>
      </c>
    </row>
    <row r="80" spans="2:18">
      <c r="B80" t="s">
        <v>348</v>
      </c>
      <c r="C80">
        <v>3.8999999999999993E-2</v>
      </c>
      <c r="D80">
        <v>0.03</v>
      </c>
      <c r="E80">
        <v>0.03</v>
      </c>
      <c r="F80">
        <v>4.1250000000000009E-2</v>
      </c>
      <c r="G80">
        <v>4.1250000000000002E-2</v>
      </c>
      <c r="H80">
        <v>6.7500000000000004E-2</v>
      </c>
      <c r="I80">
        <v>6.7500000000000004E-2</v>
      </c>
      <c r="J80">
        <v>7.0699999999999999E-2</v>
      </c>
      <c r="K80">
        <v>6.3991106629346178E-2</v>
      </c>
      <c r="L80">
        <v>5.1897344632771548E-2</v>
      </c>
      <c r="M80">
        <v>6.2482584103831722E-2</v>
      </c>
      <c r="N80">
        <v>4.4398154338798353E-2</v>
      </c>
      <c r="O80">
        <v>4.3599016914808296E-2</v>
      </c>
      <c r="P80">
        <v>4.451897659704715E-2</v>
      </c>
      <c r="Q80">
        <v>7.7694679328922892E-2</v>
      </c>
      <c r="R80">
        <v>6.5834727184428288E-2</v>
      </c>
    </row>
    <row r="81" spans="2:18">
      <c r="B81" t="s">
        <v>354</v>
      </c>
      <c r="C81">
        <v>0.03</v>
      </c>
      <c r="D81">
        <v>2.6999999999999996E-2</v>
      </c>
      <c r="E81">
        <v>2.6250000000000009E-2</v>
      </c>
      <c r="F81">
        <v>2.6249999999999996E-2</v>
      </c>
      <c r="G81">
        <v>2.6250000000000002E-2</v>
      </c>
      <c r="H81">
        <v>2.8499999999999998E-2</v>
      </c>
      <c r="I81">
        <v>2.8499999999999998E-2</v>
      </c>
      <c r="J81">
        <v>3.458E-2</v>
      </c>
      <c r="K81">
        <v>3.1290240516153235E-2</v>
      </c>
      <c r="L81">
        <v>2.5376657495784077E-2</v>
      </c>
      <c r="M81">
        <v>3.0552606255180234E-2</v>
      </c>
      <c r="N81">
        <v>2.1709718754843278E-2</v>
      </c>
      <c r="O81">
        <v>2.1318958170767986E-2</v>
      </c>
      <c r="P81">
        <v>1.8824657438831559E-2</v>
      </c>
      <c r="Q81">
        <v>3.2863023632599235E-2</v>
      </c>
      <c r="R81">
        <v>2.7846542568870453E-2</v>
      </c>
    </row>
    <row r="82" spans="2:18">
      <c r="B82" t="s">
        <v>357</v>
      </c>
      <c r="C82" t="s">
        <v>799</v>
      </c>
      <c r="D82" t="s">
        <v>799</v>
      </c>
      <c r="E82" t="s">
        <v>799</v>
      </c>
      <c r="F82" t="s">
        <v>799</v>
      </c>
      <c r="G82">
        <v>0.06</v>
      </c>
      <c r="H82">
        <v>6.7500000000000004E-2</v>
      </c>
      <c r="I82">
        <v>6.7500000000000004E-2</v>
      </c>
      <c r="J82">
        <v>7.0699999999999999E-2</v>
      </c>
      <c r="K82">
        <v>6.3991106629346178E-2</v>
      </c>
      <c r="L82">
        <v>5.1897344632771548E-2</v>
      </c>
      <c r="M82">
        <v>7.6381515637950578E-2</v>
      </c>
      <c r="N82">
        <v>5.4274296887108192E-2</v>
      </c>
      <c r="O82">
        <v>5.3297395426919955E-2</v>
      </c>
      <c r="P82">
        <v>5.4421995439276061E-2</v>
      </c>
      <c r="Q82">
        <v>9.4937623827508935E-2</v>
      </c>
      <c r="R82">
        <v>9.5056407657934314E-2</v>
      </c>
    </row>
    <row r="83" spans="2:18">
      <c r="B83" t="s">
        <v>372</v>
      </c>
      <c r="C83">
        <v>2.4000000000000007E-2</v>
      </c>
      <c r="D83">
        <v>1.575E-2</v>
      </c>
      <c r="E83">
        <v>1.2749999999999997E-2</v>
      </c>
      <c r="F83">
        <v>1.2749999999999997E-2</v>
      </c>
      <c r="G83">
        <v>1.0500000000000001E-2</v>
      </c>
      <c r="H83">
        <v>9.0000000000000011E-3</v>
      </c>
      <c r="I83">
        <v>9.0000000000000011E-3</v>
      </c>
      <c r="J83">
        <v>7.8399999999999997E-3</v>
      </c>
      <c r="K83">
        <v>7.0531279851984751E-3</v>
      </c>
      <c r="L83">
        <v>5.7201482060169036E-3</v>
      </c>
      <c r="M83">
        <v>6.8868579673562009E-3</v>
      </c>
      <c r="N83">
        <v>4.8935841455589359E-3</v>
      </c>
      <c r="O83">
        <v>4.8055028663616358E-3</v>
      </c>
      <c r="P83">
        <v>4.9069012281314477E-3</v>
      </c>
      <c r="Q83">
        <v>8.5200431640072103E-3</v>
      </c>
      <c r="R83">
        <v>7.2194739993367832E-3</v>
      </c>
    </row>
    <row r="84" spans="2:18">
      <c r="B84" t="s">
        <v>375</v>
      </c>
      <c r="C84">
        <v>1.4999999999999999E-2</v>
      </c>
      <c r="D84">
        <v>9.0000000000000011E-3</v>
      </c>
      <c r="E84">
        <v>7.4999999999999997E-3</v>
      </c>
      <c r="F84">
        <v>7.5000000000000067E-3</v>
      </c>
      <c r="G84">
        <v>7.4999999999999997E-3</v>
      </c>
      <c r="H84">
        <v>7.4999999999999997E-3</v>
      </c>
      <c r="I84">
        <v>7.4999999999999997E-3</v>
      </c>
      <c r="J84">
        <v>7.8399999999999997E-3</v>
      </c>
      <c r="K84">
        <v>7.0531279851984751E-3</v>
      </c>
      <c r="L84">
        <v>5.7201482060169036E-3</v>
      </c>
      <c r="M84">
        <v>6.8868579673562009E-3</v>
      </c>
      <c r="N84">
        <v>4.8935841455589359E-3</v>
      </c>
      <c r="O84">
        <v>6.8150767922946836E-3</v>
      </c>
      <c r="P84">
        <v>6.958878105350055E-3</v>
      </c>
      <c r="Q84">
        <v>1.2171490234296015E-2</v>
      </c>
      <c r="R84">
        <v>1.0313534284766834E-2</v>
      </c>
    </row>
    <row r="85" spans="2:18">
      <c r="B85" t="s">
        <v>360</v>
      </c>
      <c r="C85" t="s">
        <v>799</v>
      </c>
      <c r="D85" t="s">
        <v>799</v>
      </c>
      <c r="E85" t="s">
        <v>799</v>
      </c>
      <c r="F85" t="s">
        <v>799</v>
      </c>
      <c r="G85" t="s">
        <v>799</v>
      </c>
      <c r="H85" t="s">
        <v>799</v>
      </c>
      <c r="I85" t="s">
        <v>799</v>
      </c>
      <c r="J85">
        <v>8.6379999999999998E-2</v>
      </c>
      <c r="K85">
        <v>7.8225601290383098E-2</v>
      </c>
      <c r="L85">
        <v>6.3441643739460193E-2</v>
      </c>
      <c r="M85">
        <v>7.6381515637950578E-2</v>
      </c>
      <c r="N85">
        <v>5.4274296887108192E-2</v>
      </c>
      <c r="O85">
        <v>5.3297395426919955E-2</v>
      </c>
      <c r="P85">
        <v>5.4421995439276061E-2</v>
      </c>
      <c r="Q85">
        <v>0.11218056832609494</v>
      </c>
      <c r="R85">
        <v>9.5056407657934314E-2</v>
      </c>
    </row>
    <row r="86" spans="2:18">
      <c r="B86" t="s">
        <v>790</v>
      </c>
      <c r="C86" t="s">
        <v>799</v>
      </c>
      <c r="D86" t="s">
        <v>799</v>
      </c>
      <c r="E86" t="s">
        <v>799</v>
      </c>
      <c r="F86" t="s">
        <v>799</v>
      </c>
      <c r="G86" t="s">
        <v>799</v>
      </c>
      <c r="H86" t="s">
        <v>799</v>
      </c>
      <c r="I86" t="s">
        <v>799</v>
      </c>
      <c r="J86" t="s">
        <v>799</v>
      </c>
      <c r="K86" t="s">
        <v>799</v>
      </c>
      <c r="L86" t="s">
        <v>799</v>
      </c>
      <c r="M86" t="s">
        <v>799</v>
      </c>
      <c r="N86" t="s">
        <v>799</v>
      </c>
      <c r="O86">
        <v>8.7198033829616592E-2</v>
      </c>
      <c r="P86">
        <v>8.9037953194094299E-2</v>
      </c>
      <c r="Q86">
        <v>0.17263230315643183</v>
      </c>
      <c r="R86">
        <v>0.14628029460560962</v>
      </c>
    </row>
    <row r="87" spans="2:18">
      <c r="B87" t="s">
        <v>407</v>
      </c>
      <c r="C87">
        <v>2.6250000000000009E-2</v>
      </c>
      <c r="D87">
        <v>0.03</v>
      </c>
      <c r="E87">
        <v>0.03</v>
      </c>
      <c r="F87">
        <v>0.03</v>
      </c>
      <c r="G87">
        <v>0.03</v>
      </c>
      <c r="H87">
        <v>2.8499999999999998E-2</v>
      </c>
      <c r="I87">
        <v>2.4E-2</v>
      </c>
      <c r="J87">
        <v>1.89E-2</v>
      </c>
      <c r="K87">
        <v>1.7055745855116319E-2</v>
      </c>
      <c r="L87">
        <v>1.3832358389095424E-2</v>
      </c>
      <c r="M87">
        <v>1.665367472106136E-2</v>
      </c>
      <c r="N87">
        <v>1.1833576206533428E-2</v>
      </c>
      <c r="O87">
        <v>1.1620579658656319E-2</v>
      </c>
      <c r="P87">
        <v>1.1865779333481504E-2</v>
      </c>
      <c r="Q87">
        <v>2.0691533398303225E-2</v>
      </c>
      <c r="R87">
        <v>1.7533008284103618E-2</v>
      </c>
    </row>
    <row r="88" spans="2:18">
      <c r="B88" t="s">
        <v>380</v>
      </c>
      <c r="C88">
        <v>0.13500000000000001</v>
      </c>
      <c r="D88">
        <v>8.2500000000000004E-2</v>
      </c>
      <c r="E88">
        <v>0.06</v>
      </c>
      <c r="F88">
        <v>0.06</v>
      </c>
      <c r="G88">
        <v>0.06</v>
      </c>
      <c r="H88">
        <v>6.7500000000000004E-2</v>
      </c>
      <c r="I88">
        <v>8.2500000000000004E-2</v>
      </c>
      <c r="J88">
        <v>8.6379999999999998E-2</v>
      </c>
      <c r="K88">
        <v>7.8225601290383098E-2</v>
      </c>
      <c r="L88">
        <v>7.4985942846148873E-2</v>
      </c>
      <c r="M88">
        <v>9.028044717206947E-2</v>
      </c>
      <c r="N88">
        <v>8.8796308677596705E-2</v>
      </c>
      <c r="O88">
        <v>0.19178657542527283</v>
      </c>
      <c r="P88">
        <v>0.20339488157642377</v>
      </c>
      <c r="Q88">
        <v>0.2468593048582631</v>
      </c>
      <c r="R88">
        <v>0.23492692770782936</v>
      </c>
    </row>
    <row r="89" spans="2:18">
      <c r="B89" t="s">
        <v>392</v>
      </c>
      <c r="C89" t="s">
        <v>799</v>
      </c>
      <c r="D89" t="s">
        <v>799</v>
      </c>
      <c r="E89" t="s">
        <v>799</v>
      </c>
      <c r="F89" t="s">
        <v>799</v>
      </c>
      <c r="G89" t="s">
        <v>799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2:18">
      <c r="B90" t="s">
        <v>401</v>
      </c>
      <c r="C90">
        <v>2.4000000000000007E-2</v>
      </c>
      <c r="D90">
        <v>2.4000000000000007E-2</v>
      </c>
      <c r="E90">
        <v>2.2500000000000006E-2</v>
      </c>
      <c r="F90">
        <v>2.2499999999999992E-2</v>
      </c>
      <c r="G90">
        <v>2.2499999999999999E-2</v>
      </c>
      <c r="H90">
        <v>2.4E-2</v>
      </c>
      <c r="I90">
        <v>2.4E-2</v>
      </c>
      <c r="J90">
        <v>1.89E-2</v>
      </c>
      <c r="K90">
        <v>1.7055745855116319E-2</v>
      </c>
      <c r="L90">
        <v>1.3832358389095424E-2</v>
      </c>
      <c r="M90">
        <v>1.665367472106136E-2</v>
      </c>
      <c r="N90">
        <v>1.1833576206533428E-2</v>
      </c>
      <c r="O90">
        <v>1.1620579658656319E-2</v>
      </c>
      <c r="P90">
        <v>8.3863402808064744E-3</v>
      </c>
      <c r="Q90">
        <v>1.4605788281155217E-2</v>
      </c>
      <c r="R90">
        <v>1.2376241141720201E-2</v>
      </c>
    </row>
    <row r="91" spans="2:18">
      <c r="B91" t="s">
        <v>404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2:18">
      <c r="B92" t="s">
        <v>791</v>
      </c>
      <c r="C92">
        <v>1.8000000000000002E-2</v>
      </c>
      <c r="D92">
        <v>1.1249999999999996E-2</v>
      </c>
      <c r="E92">
        <v>1.0500000000000002E-2</v>
      </c>
      <c r="F92">
        <v>1.0499999999999995E-2</v>
      </c>
      <c r="G92">
        <v>1.0500000000000001E-2</v>
      </c>
      <c r="H92">
        <v>9.0000000000000011E-3</v>
      </c>
      <c r="I92">
        <v>7.4999999999999997E-3</v>
      </c>
      <c r="J92">
        <v>9.5199999999999989E-3</v>
      </c>
      <c r="K92">
        <v>8.5919922728781434E-3</v>
      </c>
      <c r="L92">
        <v>6.9681805418751368E-3</v>
      </c>
      <c r="M92">
        <v>8.389445160233917E-3</v>
      </c>
      <c r="N92">
        <v>5.9612752318627038E-3</v>
      </c>
      <c r="O92">
        <v>5.8539762190223561E-3</v>
      </c>
      <c r="P92">
        <v>5.9774978597237644E-3</v>
      </c>
      <c r="Q92">
        <v>1.0345766699151613E-2</v>
      </c>
      <c r="R92">
        <v>8.7665041420518092E-3</v>
      </c>
    </row>
    <row r="93" spans="2:18">
      <c r="B93" t="s">
        <v>792</v>
      </c>
      <c r="C93" t="s">
        <v>799</v>
      </c>
      <c r="D93" t="s">
        <v>799</v>
      </c>
      <c r="E93" t="s">
        <v>799</v>
      </c>
      <c r="F93" t="s">
        <v>799</v>
      </c>
      <c r="G93" t="s">
        <v>799</v>
      </c>
      <c r="H93">
        <v>5.3999999999999992E-2</v>
      </c>
      <c r="I93">
        <v>5.3999999999999992E-2</v>
      </c>
      <c r="J93">
        <v>5.6559999999999992E-2</v>
      </c>
      <c r="K93">
        <v>5.1167237565348946E-2</v>
      </c>
      <c r="L93">
        <v>4.1497075167286269E-2</v>
      </c>
      <c r="M93">
        <v>4.9961024163184084E-2</v>
      </c>
      <c r="N93">
        <v>3.5500728619600283E-2</v>
      </c>
      <c r="O93">
        <v>3.4861738975968962E-2</v>
      </c>
      <c r="P93">
        <v>3.5597338000444512E-2</v>
      </c>
      <c r="Q93">
        <v>6.2074600194909679E-2</v>
      </c>
      <c r="R93">
        <v>5.2599024852310855E-2</v>
      </c>
    </row>
    <row r="94" spans="2:18">
      <c r="B94" t="s">
        <v>473</v>
      </c>
      <c r="C94">
        <v>2.6250000000000009E-2</v>
      </c>
      <c r="D94">
        <v>1.8000000000000002E-2</v>
      </c>
      <c r="E94">
        <v>1.7250000000000001E-2</v>
      </c>
      <c r="F94">
        <v>1.7250000000000001E-2</v>
      </c>
      <c r="G94">
        <v>1.7250000000000001E-2</v>
      </c>
      <c r="H94">
        <v>1.8000000000000002E-2</v>
      </c>
      <c r="I94">
        <v>1.8000000000000002E-2</v>
      </c>
      <c r="J94">
        <v>1.89E-2</v>
      </c>
      <c r="K94">
        <v>1.7055745855116319E-2</v>
      </c>
      <c r="L94">
        <v>1.3832358389095424E-2</v>
      </c>
      <c r="M94">
        <v>1.665367472106136E-2</v>
      </c>
      <c r="N94">
        <v>1.1833576206533428E-2</v>
      </c>
      <c r="O94">
        <v>1.1620579658656319E-2</v>
      </c>
      <c r="P94">
        <v>1.1865779333481504E-2</v>
      </c>
      <c r="Q94">
        <v>2.0691533398303225E-2</v>
      </c>
      <c r="R94">
        <v>1.7533008284103618E-2</v>
      </c>
    </row>
    <row r="95" spans="2:18">
      <c r="B95" t="s">
        <v>426</v>
      </c>
      <c r="C95" t="s">
        <v>799</v>
      </c>
      <c r="D95" t="s">
        <v>799</v>
      </c>
      <c r="E95" t="s">
        <v>799</v>
      </c>
      <c r="F95" t="s">
        <v>799</v>
      </c>
      <c r="G95" t="s">
        <v>799</v>
      </c>
      <c r="H95" t="s">
        <v>799</v>
      </c>
      <c r="I95" t="s">
        <v>799</v>
      </c>
      <c r="J95" t="s">
        <v>799</v>
      </c>
      <c r="K95" t="s">
        <v>799</v>
      </c>
      <c r="L95" t="s">
        <v>799</v>
      </c>
      <c r="M95">
        <v>7.6381515637950578E-2</v>
      </c>
      <c r="N95">
        <v>5.4274296887108192E-2</v>
      </c>
      <c r="O95">
        <v>6.2995773939031607E-2</v>
      </c>
      <c r="P95">
        <v>7.4138816737767899E-2</v>
      </c>
      <c r="Q95">
        <v>0.12942351282468095</v>
      </c>
      <c r="R95">
        <v>0.10966724789468733</v>
      </c>
    </row>
    <row r="96" spans="2:18">
      <c r="B96" t="s">
        <v>437</v>
      </c>
      <c r="C96" t="s">
        <v>799</v>
      </c>
      <c r="D96" t="s">
        <v>799</v>
      </c>
      <c r="E96" t="s">
        <v>799</v>
      </c>
      <c r="F96" t="s">
        <v>799</v>
      </c>
      <c r="G96" t="s">
        <v>799</v>
      </c>
      <c r="H96" t="s">
        <v>799</v>
      </c>
      <c r="I96" t="s">
        <v>799</v>
      </c>
      <c r="J96" t="s">
        <v>799</v>
      </c>
      <c r="K96" t="s">
        <v>799</v>
      </c>
      <c r="L96" t="s">
        <v>799</v>
      </c>
      <c r="M96" t="s">
        <v>799</v>
      </c>
      <c r="N96">
        <v>6.4150439435418039E-2</v>
      </c>
      <c r="O96">
        <v>7.2606779671754898E-2</v>
      </c>
      <c r="P96">
        <v>7.4138816737767899E-2</v>
      </c>
      <c r="Q96">
        <v>0.15538935865784578</v>
      </c>
      <c r="R96">
        <v>0.13166945436885658</v>
      </c>
    </row>
    <row r="97" spans="2:18">
      <c r="B97" t="s">
        <v>440</v>
      </c>
      <c r="C97">
        <v>2.1000000000000005E-2</v>
      </c>
      <c r="D97">
        <v>1.3499999999999998E-2</v>
      </c>
      <c r="E97">
        <v>1.2749999999999997E-2</v>
      </c>
      <c r="F97">
        <v>1.4999999999999999E-2</v>
      </c>
      <c r="G97">
        <v>1.7250000000000001E-2</v>
      </c>
      <c r="H97">
        <v>1.8000000000000002E-2</v>
      </c>
      <c r="I97">
        <v>1.8000000000000002E-2</v>
      </c>
      <c r="J97">
        <v>1.89E-2</v>
      </c>
      <c r="K97">
        <v>1.7055745855116319E-2</v>
      </c>
      <c r="L97">
        <v>1.3832358389095424E-2</v>
      </c>
      <c r="M97">
        <v>1.665367472106136E-2</v>
      </c>
      <c r="N97">
        <v>8.36358017604618E-3</v>
      </c>
      <c r="O97">
        <v>8.2130412625089771E-3</v>
      </c>
      <c r="P97">
        <v>8.3863402808064744E-3</v>
      </c>
      <c r="Q97">
        <v>1.4605788281155217E-2</v>
      </c>
      <c r="R97">
        <v>1.2376241141720201E-2</v>
      </c>
    </row>
    <row r="98" spans="2:18">
      <c r="B98" t="s">
        <v>467</v>
      </c>
      <c r="C98">
        <v>3.3750000000000002E-2</v>
      </c>
      <c r="D98">
        <v>2.6999999999999996E-2</v>
      </c>
      <c r="E98">
        <v>2.6250000000000009E-2</v>
      </c>
      <c r="F98">
        <v>2.6249999999999996E-2</v>
      </c>
      <c r="G98">
        <v>2.2499999999999999E-2</v>
      </c>
      <c r="H98">
        <v>2.4E-2</v>
      </c>
      <c r="I98">
        <v>2.4E-2</v>
      </c>
      <c r="J98">
        <v>2.5059999999999999E-2</v>
      </c>
      <c r="K98">
        <v>2.2698248243275099E-2</v>
      </c>
      <c r="L98">
        <v>1.8408476953908945E-2</v>
      </c>
      <c r="M98">
        <v>2.2163161094946322E-2</v>
      </c>
      <c r="N98">
        <v>1.5748443522980576E-2</v>
      </c>
      <c r="O98">
        <v>1.5464981951745628E-2</v>
      </c>
      <c r="P98">
        <v>1.8824657438831559E-2</v>
      </c>
      <c r="Q98">
        <v>3.7934477896889252E-2</v>
      </c>
      <c r="R98">
        <v>3.2143848520856631E-2</v>
      </c>
    </row>
    <row r="99" spans="2:18">
      <c r="B99" t="s">
        <v>429</v>
      </c>
      <c r="C99">
        <v>0.03</v>
      </c>
      <c r="D99">
        <v>2.4000000000000007E-2</v>
      </c>
      <c r="E99">
        <v>2.2500000000000006E-2</v>
      </c>
      <c r="F99">
        <v>2.2499999999999992E-2</v>
      </c>
      <c r="G99">
        <v>2.2499999999999999E-2</v>
      </c>
      <c r="H99">
        <v>2.4E-2</v>
      </c>
      <c r="I99">
        <v>1.8000000000000002E-2</v>
      </c>
      <c r="J99">
        <v>1.89E-2</v>
      </c>
      <c r="K99">
        <v>1.7055745855116319E-2</v>
      </c>
      <c r="L99">
        <v>1.3832358389095424E-2</v>
      </c>
      <c r="M99">
        <v>1.665367472106136E-2</v>
      </c>
      <c r="N99">
        <v>1.1833576206533428E-2</v>
      </c>
      <c r="O99">
        <v>1.5464981951745628E-2</v>
      </c>
      <c r="P99">
        <v>1.5791300315986662E-2</v>
      </c>
      <c r="Q99">
        <v>3.2863023632599235E-2</v>
      </c>
      <c r="R99">
        <v>2.7846542568870453E-2</v>
      </c>
    </row>
    <row r="100" spans="2:18">
      <c r="B100" t="s">
        <v>772</v>
      </c>
      <c r="C100">
        <v>0.18</v>
      </c>
      <c r="D100">
        <v>0.11249999999999998</v>
      </c>
      <c r="E100">
        <v>9.0000000000000011E-2</v>
      </c>
      <c r="F100">
        <v>0.09</v>
      </c>
      <c r="G100">
        <v>0.09</v>
      </c>
      <c r="H100">
        <v>9.7500000000000003E-2</v>
      </c>
      <c r="I100">
        <v>9.7500000000000003E-2</v>
      </c>
      <c r="J100">
        <v>0.10206</v>
      </c>
      <c r="K100">
        <v>9.2460095951420018E-2</v>
      </c>
      <c r="L100">
        <v>7.4985942846148873E-2</v>
      </c>
      <c r="M100">
        <v>9.028044717206947E-2</v>
      </c>
      <c r="N100">
        <v>6.4150439435418039E-2</v>
      </c>
      <c r="O100">
        <v>6.2995773939031607E-2</v>
      </c>
      <c r="P100">
        <v>6.4325014281504972E-2</v>
      </c>
      <c r="Q100">
        <v>0.11218056832609494</v>
      </c>
      <c r="R100">
        <v>9.5056407657934314E-2</v>
      </c>
    </row>
    <row r="101" spans="2:18">
      <c r="B101" t="s">
        <v>449</v>
      </c>
      <c r="C101">
        <v>9.7500000000000017E-2</v>
      </c>
      <c r="D101">
        <v>6.7500000000000004E-2</v>
      </c>
      <c r="E101">
        <v>0.06</v>
      </c>
      <c r="F101">
        <v>0.06</v>
      </c>
      <c r="G101">
        <v>0.06</v>
      </c>
      <c r="H101">
        <v>6.7500000000000004E-2</v>
      </c>
      <c r="I101">
        <v>8.2500000000000004E-2</v>
      </c>
      <c r="J101">
        <v>8.6379999999999998E-2</v>
      </c>
      <c r="K101">
        <v>0.10656635192181697</v>
      </c>
      <c r="L101">
        <v>8.6426239258182672E-2</v>
      </c>
      <c r="M101">
        <v>9.028044717206947E-2</v>
      </c>
      <c r="N101">
        <v>6.4150439435418039E-2</v>
      </c>
      <c r="O101">
        <v>6.2995773939031607E-2</v>
      </c>
      <c r="P101">
        <v>6.4325014281504972E-2</v>
      </c>
      <c r="Q101">
        <v>0.11218056832609494</v>
      </c>
      <c r="R101">
        <v>9.5056407657934314E-2</v>
      </c>
    </row>
    <row r="102" spans="2:18">
      <c r="B102" t="s">
        <v>446</v>
      </c>
      <c r="C102">
        <v>0.06</v>
      </c>
      <c r="D102">
        <v>5.2500000000000005E-2</v>
      </c>
      <c r="E102">
        <v>4.8750000000000002E-2</v>
      </c>
      <c r="F102">
        <v>4.8750000000000002E-2</v>
      </c>
      <c r="G102">
        <v>4.8750000000000002E-2</v>
      </c>
      <c r="H102">
        <v>5.3999999999999992E-2</v>
      </c>
      <c r="I102">
        <v>5.3999999999999992E-2</v>
      </c>
      <c r="J102">
        <v>5.6559999999999992E-2</v>
      </c>
      <c r="K102">
        <v>6.3991106629346178E-2</v>
      </c>
      <c r="L102">
        <v>5.1897344632771548E-2</v>
      </c>
      <c r="M102">
        <v>6.2482584103831722E-2</v>
      </c>
      <c r="N102">
        <v>4.4398154338798353E-2</v>
      </c>
      <c r="O102">
        <v>4.3599016914808296E-2</v>
      </c>
      <c r="P102">
        <v>4.451897659704715E-2</v>
      </c>
      <c r="Q102">
        <v>7.7694679328922892E-2</v>
      </c>
      <c r="R102">
        <v>6.5834727184428288E-2</v>
      </c>
    </row>
    <row r="103" spans="2:18">
      <c r="B103" t="s">
        <v>461</v>
      </c>
      <c r="C103" t="s">
        <v>799</v>
      </c>
      <c r="D103" t="s">
        <v>799</v>
      </c>
      <c r="E103" t="s">
        <v>799</v>
      </c>
      <c r="F103" t="s">
        <v>799</v>
      </c>
      <c r="G103" t="s">
        <v>799</v>
      </c>
      <c r="H103">
        <v>3.3000000000000002E-2</v>
      </c>
      <c r="I103">
        <v>3.3000000000000002E-2</v>
      </c>
      <c r="J103">
        <v>3.458E-2</v>
      </c>
      <c r="K103">
        <v>3.1290240516153235E-2</v>
      </c>
      <c r="L103">
        <v>2.5376657495784077E-2</v>
      </c>
      <c r="M103">
        <v>3.0552606255180234E-2</v>
      </c>
      <c r="N103">
        <v>2.1709718754843278E-2</v>
      </c>
      <c r="O103">
        <v>2.1318958170767986E-2</v>
      </c>
      <c r="P103">
        <v>2.1768798175710428E-2</v>
      </c>
      <c r="Q103">
        <v>3.7934477896889252E-2</v>
      </c>
      <c r="R103">
        <v>3.2143848520856631E-2</v>
      </c>
    </row>
    <row r="104" spans="2:18">
      <c r="B104" t="s">
        <v>415</v>
      </c>
      <c r="C104">
        <v>4.4999999999999998E-2</v>
      </c>
      <c r="D104">
        <v>3.7500000000000006E-2</v>
      </c>
      <c r="E104">
        <v>3.6000000000000004E-2</v>
      </c>
      <c r="F104">
        <v>3.6000000000000004E-2</v>
      </c>
      <c r="G104">
        <v>3.6000000000000004E-2</v>
      </c>
      <c r="H104">
        <v>3.7500000000000006E-2</v>
      </c>
      <c r="I104">
        <v>3.7500000000000006E-2</v>
      </c>
      <c r="J104">
        <v>3.9199999999999999E-2</v>
      </c>
      <c r="K104">
        <v>3.5522117307272325E-2</v>
      </c>
      <c r="L104">
        <v>2.8808746419394224E-2</v>
      </c>
      <c r="M104">
        <v>3.468472103559396E-2</v>
      </c>
      <c r="N104">
        <v>2.4645869242178643E-2</v>
      </c>
      <c r="O104">
        <v>2.4202259890584967E-2</v>
      </c>
      <c r="P104">
        <v>2.47129389125893E-2</v>
      </c>
      <c r="Q104">
        <v>4.3208790331750853E-2</v>
      </c>
      <c r="R104">
        <v>3.6613046710922269E-2</v>
      </c>
    </row>
    <row r="105" spans="2:18">
      <c r="B105" t="s">
        <v>455</v>
      </c>
      <c r="C105" t="s">
        <v>799</v>
      </c>
      <c r="D105" t="s">
        <v>799</v>
      </c>
      <c r="E105" t="s">
        <v>799</v>
      </c>
      <c r="F105" t="s">
        <v>799</v>
      </c>
      <c r="G105" t="s">
        <v>799</v>
      </c>
      <c r="H105">
        <v>6.7500000000000004E-2</v>
      </c>
      <c r="I105">
        <v>6.7500000000000004E-2</v>
      </c>
      <c r="J105">
        <v>0.11773999999999998</v>
      </c>
      <c r="K105">
        <v>0.1420884692290893</v>
      </c>
      <c r="L105">
        <v>0.1152349856775769</v>
      </c>
      <c r="M105">
        <v>0.13873888414237584</v>
      </c>
      <c r="N105">
        <v>8.8796308677596705E-2</v>
      </c>
      <c r="O105">
        <v>8.7198033829616592E-2</v>
      </c>
      <c r="P105">
        <v>8.9037953194094299E-2</v>
      </c>
      <c r="Q105">
        <v>0.15538935865784578</v>
      </c>
      <c r="R105">
        <v>0.13166945436885658</v>
      </c>
    </row>
    <row r="106" spans="2:18">
      <c r="B106" t="s">
        <v>478</v>
      </c>
      <c r="C106" t="s">
        <v>799</v>
      </c>
      <c r="D106" t="s">
        <v>799</v>
      </c>
      <c r="E106" t="s">
        <v>799</v>
      </c>
      <c r="F106">
        <v>0.03</v>
      </c>
      <c r="G106">
        <v>0.03</v>
      </c>
      <c r="H106">
        <v>3.3000000000000002E-2</v>
      </c>
      <c r="I106">
        <v>3.3000000000000002E-2</v>
      </c>
      <c r="J106">
        <v>3.458E-2</v>
      </c>
      <c r="K106">
        <v>3.1290240516153235E-2</v>
      </c>
      <c r="L106">
        <v>2.8808746419394224E-2</v>
      </c>
      <c r="M106">
        <v>3.468472103559396E-2</v>
      </c>
      <c r="N106">
        <v>2.962842764492955E-2</v>
      </c>
      <c r="O106">
        <v>3.4861738975968962E-2</v>
      </c>
      <c r="P106">
        <v>3.5597338000444512E-2</v>
      </c>
      <c r="Q106">
        <v>7.7694679328922892E-2</v>
      </c>
      <c r="R106">
        <v>6.5834727184428288E-2</v>
      </c>
    </row>
    <row r="107" spans="2:18">
      <c r="B107" t="s">
        <v>499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2:18">
      <c r="B108" t="s">
        <v>510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2:18">
      <c r="B109" t="s">
        <v>493</v>
      </c>
      <c r="C109">
        <v>0.13500000000000001</v>
      </c>
      <c r="D109">
        <v>9.7500000000000017E-2</v>
      </c>
      <c r="E109">
        <v>9.0000000000000011E-2</v>
      </c>
      <c r="F109">
        <v>0.09</v>
      </c>
      <c r="G109">
        <v>0.09</v>
      </c>
      <c r="H109">
        <v>9.7500000000000003E-2</v>
      </c>
      <c r="I109">
        <v>9.7500000000000003E-2</v>
      </c>
      <c r="J109">
        <v>8.6379999999999998E-2</v>
      </c>
      <c r="K109">
        <v>7.8225601290383098E-2</v>
      </c>
      <c r="L109">
        <v>6.3441643739460193E-2</v>
      </c>
      <c r="M109">
        <v>7.6381515637950578E-2</v>
      </c>
      <c r="N109">
        <v>5.4274296887108192E-2</v>
      </c>
      <c r="O109">
        <v>6.2995773939031607E-2</v>
      </c>
      <c r="P109">
        <v>6.4325014281504972E-2</v>
      </c>
      <c r="Q109">
        <v>0.11218056832609494</v>
      </c>
      <c r="R109">
        <v>9.5056407657934314E-2</v>
      </c>
    </row>
    <row r="110" spans="2:18">
      <c r="B110" t="s">
        <v>484</v>
      </c>
      <c r="C110" t="s">
        <v>799</v>
      </c>
      <c r="D110" t="s">
        <v>799</v>
      </c>
      <c r="E110" t="s">
        <v>799</v>
      </c>
      <c r="F110" t="s">
        <v>799</v>
      </c>
      <c r="G110" t="s">
        <v>799</v>
      </c>
      <c r="H110" t="s">
        <v>799</v>
      </c>
      <c r="I110" t="s">
        <v>799</v>
      </c>
      <c r="J110" t="s">
        <v>799</v>
      </c>
      <c r="K110" t="s">
        <v>799</v>
      </c>
      <c r="L110" t="s">
        <v>799</v>
      </c>
      <c r="M110" t="s">
        <v>799</v>
      </c>
      <c r="N110">
        <v>6.4150439435418039E-2</v>
      </c>
      <c r="O110">
        <v>6.2995773939031607E-2</v>
      </c>
      <c r="P110">
        <v>6.4325014281504972E-2</v>
      </c>
      <c r="Q110">
        <v>0.11218056832609494</v>
      </c>
      <c r="R110">
        <v>0.13166945436885658</v>
      </c>
    </row>
    <row r="111" spans="2:18">
      <c r="B111" t="s">
        <v>490</v>
      </c>
      <c r="C111" t="s">
        <v>799</v>
      </c>
      <c r="D111" t="s">
        <v>799</v>
      </c>
      <c r="E111" t="s">
        <v>799</v>
      </c>
      <c r="F111" t="s">
        <v>799</v>
      </c>
      <c r="G111">
        <v>4.8750000000000002E-2</v>
      </c>
      <c r="H111">
        <v>5.3999999999999992E-2</v>
      </c>
      <c r="I111">
        <v>5.3999999999999992E-2</v>
      </c>
      <c r="J111">
        <v>7.0699999999999999E-2</v>
      </c>
      <c r="K111">
        <v>6.3991106629346178E-2</v>
      </c>
      <c r="L111">
        <v>6.3441643739460193E-2</v>
      </c>
      <c r="M111">
        <v>7.6381515637950578E-2</v>
      </c>
      <c r="N111">
        <v>5.4274296887108192E-2</v>
      </c>
      <c r="O111">
        <v>5.3297395426919955E-2</v>
      </c>
      <c r="P111">
        <v>5.4421995439276061E-2</v>
      </c>
      <c r="Q111">
        <v>0.11218056832609494</v>
      </c>
      <c r="R111">
        <v>0.10966724789468733</v>
      </c>
    </row>
    <row r="112" spans="2:18">
      <c r="B112" t="s">
        <v>501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2:18">
      <c r="B113" t="s">
        <v>513</v>
      </c>
      <c r="C113">
        <v>2.4000000000000007E-2</v>
      </c>
      <c r="D113">
        <v>1.575E-2</v>
      </c>
      <c r="E113">
        <v>1.2749999999999997E-2</v>
      </c>
      <c r="F113">
        <v>1.2749999999999997E-2</v>
      </c>
      <c r="G113">
        <v>1.2750000000000001E-2</v>
      </c>
      <c r="H113">
        <v>1.0500000000000001E-2</v>
      </c>
      <c r="I113">
        <v>1.0500000000000001E-2</v>
      </c>
      <c r="J113">
        <v>2.5059999999999999E-2</v>
      </c>
      <c r="K113">
        <v>2.2698248243275099E-2</v>
      </c>
      <c r="L113">
        <v>2.1944568572173941E-2</v>
      </c>
      <c r="M113">
        <v>3.0552606255180234E-2</v>
      </c>
      <c r="N113">
        <v>2.4645869242178643E-2</v>
      </c>
      <c r="O113">
        <v>3.4861738975968962E-2</v>
      </c>
      <c r="P113">
        <v>3.5597338000444512E-2</v>
      </c>
      <c r="Q113">
        <v>6.2074600194909679E-2</v>
      </c>
      <c r="R113">
        <v>3.6613046710922269E-2</v>
      </c>
    </row>
    <row r="114" spans="2:18">
      <c r="B114" t="s">
        <v>516</v>
      </c>
      <c r="C114">
        <v>0.13500000000000001</v>
      </c>
      <c r="D114">
        <v>9.7500000000000017E-2</v>
      </c>
      <c r="E114">
        <v>9.0000000000000011E-2</v>
      </c>
      <c r="F114">
        <v>0.09</v>
      </c>
      <c r="G114">
        <v>0.10500000000000001</v>
      </c>
      <c r="H114">
        <v>0.11249999999999999</v>
      </c>
      <c r="I114">
        <v>0.11249999999999999</v>
      </c>
      <c r="J114">
        <v>0.10206</v>
      </c>
      <c r="K114">
        <v>9.2460095951420018E-2</v>
      </c>
      <c r="L114">
        <v>7.4985942846148873E-2</v>
      </c>
      <c r="M114">
        <v>9.028044717206947E-2</v>
      </c>
      <c r="N114">
        <v>6.4150439435418039E-2</v>
      </c>
      <c r="O114">
        <v>6.2995773939031607E-2</v>
      </c>
      <c r="P114">
        <v>6.4325014281504972E-2</v>
      </c>
      <c r="Q114">
        <v>0.12942351282468095</v>
      </c>
      <c r="R114">
        <v>0.14628029460560962</v>
      </c>
    </row>
    <row r="115" spans="2:18">
      <c r="B115" t="s">
        <v>519</v>
      </c>
      <c r="C115">
        <v>4.4999999999999998E-2</v>
      </c>
      <c r="D115">
        <v>3.7500000000000006E-2</v>
      </c>
      <c r="E115">
        <v>0.03</v>
      </c>
      <c r="F115">
        <v>0.03</v>
      </c>
      <c r="G115">
        <v>2.6250000000000002E-2</v>
      </c>
      <c r="H115">
        <v>2.8499999999999998E-2</v>
      </c>
      <c r="I115">
        <v>2.8499999999999998E-2</v>
      </c>
      <c r="J115">
        <v>2.9819999999999996E-2</v>
      </c>
      <c r="K115">
        <v>2.7058363725034153E-2</v>
      </c>
      <c r="L115">
        <v>2.1944568572173941E-2</v>
      </c>
      <c r="M115">
        <v>2.6420491474766512E-2</v>
      </c>
      <c r="N115">
        <v>1.5748443522980576E-2</v>
      </c>
      <c r="O115">
        <v>1.5464981951745628E-2</v>
      </c>
      <c r="P115">
        <v>1.8824657438831559E-2</v>
      </c>
      <c r="Q115">
        <v>3.2863023632599235E-2</v>
      </c>
      <c r="R115">
        <v>2.7846542568870453E-2</v>
      </c>
    </row>
    <row r="116" spans="2:18">
      <c r="B116" t="s">
        <v>534</v>
      </c>
      <c r="C116">
        <v>9.7500000000000017E-2</v>
      </c>
      <c r="D116">
        <v>6.7500000000000004E-2</v>
      </c>
      <c r="E116">
        <v>0.06</v>
      </c>
      <c r="F116">
        <v>0.06</v>
      </c>
      <c r="G116">
        <v>0.06</v>
      </c>
      <c r="H116">
        <v>6.7500000000000004E-2</v>
      </c>
      <c r="I116">
        <v>6.7500000000000004E-2</v>
      </c>
      <c r="J116">
        <v>8.6379999999999998E-2</v>
      </c>
      <c r="K116">
        <v>7.8225601290383098E-2</v>
      </c>
      <c r="L116">
        <v>6.3441643739460193E-2</v>
      </c>
      <c r="M116">
        <v>7.6381515637950578E-2</v>
      </c>
      <c r="N116">
        <v>5.4274296887108192E-2</v>
      </c>
      <c r="O116">
        <v>5.3297395426919955E-2</v>
      </c>
      <c r="P116">
        <v>5.4421995439276061E-2</v>
      </c>
      <c r="Q116">
        <v>9.4937623827508935E-2</v>
      </c>
      <c r="R116">
        <v>8.0445567421181308E-2</v>
      </c>
    </row>
    <row r="117" spans="2:18">
      <c r="B117" t="s">
        <v>549</v>
      </c>
      <c r="C117">
        <v>0.13500000000000001</v>
      </c>
      <c r="D117">
        <v>9.7500000000000017E-2</v>
      </c>
      <c r="E117">
        <v>0.06</v>
      </c>
      <c r="F117">
        <v>0.06</v>
      </c>
      <c r="G117">
        <v>0.06</v>
      </c>
      <c r="H117">
        <v>5.3999999999999992E-2</v>
      </c>
      <c r="I117">
        <v>4.4999999999999998E-2</v>
      </c>
      <c r="J117">
        <v>3.9199999999999999E-2</v>
      </c>
      <c r="K117">
        <v>3.5522117307272325E-2</v>
      </c>
      <c r="L117">
        <v>2.8808746419394224E-2</v>
      </c>
      <c r="M117">
        <v>3.468472103559396E-2</v>
      </c>
      <c r="N117">
        <v>2.4645869242178643E-2</v>
      </c>
      <c r="O117">
        <v>2.4202259890584967E-2</v>
      </c>
      <c r="P117">
        <v>2.47129389125893E-2</v>
      </c>
      <c r="Q117">
        <v>4.3208790331750853E-2</v>
      </c>
      <c r="R117">
        <v>3.6613046710922269E-2</v>
      </c>
    </row>
    <row r="118" spans="2:18">
      <c r="B118" t="s">
        <v>525</v>
      </c>
      <c r="C118">
        <v>3.8999999999999993E-2</v>
      </c>
      <c r="D118">
        <v>0.03</v>
      </c>
      <c r="E118">
        <v>0.03</v>
      </c>
      <c r="F118">
        <v>0.03</v>
      </c>
      <c r="G118">
        <v>2.6250000000000002E-2</v>
      </c>
      <c r="H118">
        <v>2.8499999999999998E-2</v>
      </c>
      <c r="I118">
        <v>1.8000000000000002E-2</v>
      </c>
      <c r="J118">
        <v>1.89E-2</v>
      </c>
      <c r="K118">
        <v>1.7055745855116319E-2</v>
      </c>
      <c r="L118">
        <v>1.3832358389095424E-2</v>
      </c>
      <c r="M118">
        <v>1.665367472106136E-2</v>
      </c>
      <c r="N118">
        <v>1.1833576206533428E-2</v>
      </c>
      <c r="O118">
        <v>1.1620579658656319E-2</v>
      </c>
      <c r="P118">
        <v>1.5791300315986662E-2</v>
      </c>
      <c r="Q118">
        <v>2.758871119773763E-2</v>
      </c>
      <c r="R118">
        <v>2.3377344378804822E-2</v>
      </c>
    </row>
    <row r="119" spans="2:18">
      <c r="B119" t="s">
        <v>528</v>
      </c>
      <c r="C119">
        <v>9.7500000000000017E-2</v>
      </c>
      <c r="D119">
        <v>5.2500000000000005E-2</v>
      </c>
      <c r="E119">
        <v>4.8750000000000002E-2</v>
      </c>
      <c r="F119">
        <v>4.1250000000000009E-2</v>
      </c>
      <c r="G119">
        <v>3.6000000000000004E-2</v>
      </c>
      <c r="H119">
        <v>3.3000000000000002E-2</v>
      </c>
      <c r="I119">
        <v>2.8499999999999998E-2</v>
      </c>
      <c r="J119">
        <v>2.9819999999999996E-2</v>
      </c>
      <c r="K119">
        <v>2.7058363725034153E-2</v>
      </c>
      <c r="L119">
        <v>2.1944568572173941E-2</v>
      </c>
      <c r="M119">
        <v>2.6420491474766512E-2</v>
      </c>
      <c r="N119">
        <v>1.8773568267507916E-2</v>
      </c>
      <c r="O119">
        <v>1.8435656450951004E-2</v>
      </c>
      <c r="P119">
        <v>1.8824657438831559E-2</v>
      </c>
      <c r="Q119">
        <v>3.2863023632599235E-2</v>
      </c>
      <c r="R119">
        <v>2.7846542568870453E-2</v>
      </c>
    </row>
    <row r="120" spans="2:18">
      <c r="B120" t="s">
        <v>537</v>
      </c>
      <c r="C120">
        <v>2.4000000000000007E-2</v>
      </c>
      <c r="D120">
        <v>1.575E-2</v>
      </c>
      <c r="E120">
        <v>1.4999999999999999E-2</v>
      </c>
      <c r="F120">
        <v>1.4999999999999999E-2</v>
      </c>
      <c r="G120">
        <v>1.4999999999999999E-2</v>
      </c>
      <c r="H120">
        <v>1.2750000000000001E-2</v>
      </c>
      <c r="I120">
        <v>1.2750000000000001E-2</v>
      </c>
      <c r="J120">
        <v>1.3299999999999999E-2</v>
      </c>
      <c r="K120">
        <v>1.2054436920157396E-2</v>
      </c>
      <c r="L120">
        <v>9.7762532975561641E-3</v>
      </c>
      <c r="M120">
        <v>1.1770266344208781E-2</v>
      </c>
      <c r="N120">
        <v>8.36358017604618E-3</v>
      </c>
      <c r="O120">
        <v>8.2130412625089771E-3</v>
      </c>
      <c r="P120">
        <v>8.3863402808064744E-3</v>
      </c>
      <c r="Q120">
        <v>1.4605788281155217E-2</v>
      </c>
      <c r="R120">
        <v>1.2376241141720201E-2</v>
      </c>
    </row>
    <row r="121" spans="2:18">
      <c r="B121" t="s">
        <v>546</v>
      </c>
      <c r="C121">
        <v>1.4999999999999999E-2</v>
      </c>
      <c r="D121">
        <v>9.0000000000000011E-3</v>
      </c>
      <c r="E121">
        <v>1.2749999999999997E-2</v>
      </c>
      <c r="F121">
        <v>4.1250000000000009E-2</v>
      </c>
      <c r="G121">
        <v>4.8750000000000002E-2</v>
      </c>
      <c r="H121">
        <v>5.3999999999999992E-2</v>
      </c>
      <c r="I121">
        <v>3.7500000000000006E-2</v>
      </c>
      <c r="J121">
        <v>3.9199999999999999E-2</v>
      </c>
      <c r="K121">
        <v>3.5522117307272325E-2</v>
      </c>
      <c r="L121">
        <v>2.8808746419394224E-2</v>
      </c>
      <c r="M121">
        <v>3.0552606255180234E-2</v>
      </c>
      <c r="N121">
        <v>2.1709718754843278E-2</v>
      </c>
      <c r="O121">
        <v>2.1318958170767986E-2</v>
      </c>
      <c r="P121">
        <v>1.8824657438831559E-2</v>
      </c>
      <c r="Q121">
        <v>3.2863023632599235E-2</v>
      </c>
      <c r="R121">
        <v>1.7533008284103618E-2</v>
      </c>
    </row>
    <row r="122" spans="2:18">
      <c r="B122" t="s">
        <v>558</v>
      </c>
      <c r="C122">
        <v>1.4999999999999999E-2</v>
      </c>
      <c r="D122">
        <v>9.0000000000000011E-3</v>
      </c>
      <c r="E122">
        <v>7.4999999999999997E-3</v>
      </c>
      <c r="F122">
        <v>7.5000000000000067E-3</v>
      </c>
      <c r="G122">
        <v>7.4999999999999997E-3</v>
      </c>
      <c r="H122">
        <v>7.4999999999999997E-3</v>
      </c>
      <c r="I122">
        <v>7.4999999999999997E-3</v>
      </c>
      <c r="J122">
        <v>7.8399999999999997E-3</v>
      </c>
      <c r="K122">
        <v>7.0531279851984751E-3</v>
      </c>
      <c r="L122">
        <v>6.9681805418751368E-3</v>
      </c>
      <c r="M122">
        <v>8.389445160233917E-3</v>
      </c>
      <c r="N122">
        <v>5.9612752318627038E-3</v>
      </c>
      <c r="O122">
        <v>5.8539762190223561E-3</v>
      </c>
      <c r="P122">
        <v>5.9774978597237644E-3</v>
      </c>
      <c r="Q122">
        <v>1.0345766699151613E-2</v>
      </c>
      <c r="R122">
        <v>8.7665041420518092E-3</v>
      </c>
    </row>
    <row r="123" spans="2:18">
      <c r="B123" t="s">
        <v>793</v>
      </c>
      <c r="C123" t="s">
        <v>799</v>
      </c>
      <c r="D123" t="s">
        <v>799</v>
      </c>
      <c r="E123" t="s">
        <v>799</v>
      </c>
      <c r="F123" t="s">
        <v>799</v>
      </c>
      <c r="G123" t="s">
        <v>799</v>
      </c>
      <c r="H123" t="s">
        <v>799</v>
      </c>
      <c r="I123">
        <v>1.2750000000000001E-2</v>
      </c>
      <c r="J123">
        <v>1.3299999999999999E-2</v>
      </c>
      <c r="K123">
        <v>1.2054436920157396E-2</v>
      </c>
      <c r="L123">
        <v>9.7762532975561641E-3</v>
      </c>
      <c r="M123">
        <v>1.1770266344208781E-2</v>
      </c>
      <c r="N123">
        <v>7.3937607726535931E-2</v>
      </c>
      <c r="O123">
        <v>0</v>
      </c>
      <c r="P123">
        <v>1.1865779333481504E-2</v>
      </c>
      <c r="Q123">
        <v>2.0691533398303225E-2</v>
      </c>
      <c r="R123">
        <v>1.7533008284103618E-2</v>
      </c>
    </row>
    <row r="124" spans="2:18">
      <c r="B124" t="s">
        <v>564</v>
      </c>
      <c r="C124">
        <v>3.8999999999999993E-2</v>
      </c>
      <c r="D124">
        <v>0.03</v>
      </c>
      <c r="E124">
        <v>0.03</v>
      </c>
      <c r="F124">
        <v>0.03</v>
      </c>
      <c r="G124">
        <v>0.03</v>
      </c>
      <c r="H124">
        <v>3.3000000000000002E-2</v>
      </c>
      <c r="I124">
        <v>3.3000000000000002E-2</v>
      </c>
      <c r="J124">
        <v>3.458E-2</v>
      </c>
      <c r="K124">
        <v>3.1290240516153235E-2</v>
      </c>
      <c r="L124">
        <v>2.5376657495784077E-2</v>
      </c>
      <c r="M124">
        <v>3.0552606255180234E-2</v>
      </c>
      <c r="N124">
        <v>2.1709718754843278E-2</v>
      </c>
      <c r="O124">
        <v>2.1318958170767986E-2</v>
      </c>
      <c r="P124">
        <v>2.1768798175710428E-2</v>
      </c>
      <c r="Q124">
        <v>3.7934477896889252E-2</v>
      </c>
      <c r="R124">
        <v>3.2143848520856631E-2</v>
      </c>
    </row>
    <row r="125" spans="2:18">
      <c r="B125" t="s">
        <v>798</v>
      </c>
      <c r="C125">
        <v>0.03</v>
      </c>
      <c r="D125">
        <v>2.4000000000000007E-2</v>
      </c>
      <c r="E125">
        <v>2.2500000000000006E-2</v>
      </c>
      <c r="F125">
        <v>2.2499999999999992E-2</v>
      </c>
      <c r="G125">
        <v>2.2499999999999999E-2</v>
      </c>
      <c r="H125">
        <v>2.4E-2</v>
      </c>
      <c r="I125">
        <v>2.8499999999999998E-2</v>
      </c>
      <c r="J125">
        <v>3.9199999999999999E-2</v>
      </c>
      <c r="K125">
        <v>3.5522117307272325E-2</v>
      </c>
      <c r="L125">
        <v>2.8808746419394224E-2</v>
      </c>
      <c r="M125">
        <v>3.468472103559396E-2</v>
      </c>
      <c r="N125">
        <v>2.1709718754843278E-2</v>
      </c>
      <c r="O125">
        <v>2.1318958170767986E-2</v>
      </c>
      <c r="P125">
        <v>2.1768798175710428E-2</v>
      </c>
      <c r="Q125">
        <v>0.12942351282468095</v>
      </c>
      <c r="R125" t="s">
        <v>799</v>
      </c>
    </row>
    <row r="126" spans="2:18">
      <c r="B126" t="s">
        <v>569</v>
      </c>
      <c r="C126" t="s">
        <v>799</v>
      </c>
      <c r="D126" t="s">
        <v>799</v>
      </c>
      <c r="E126" t="s">
        <v>799</v>
      </c>
      <c r="F126" t="s">
        <v>799</v>
      </c>
      <c r="G126" t="s">
        <v>799</v>
      </c>
      <c r="H126">
        <v>8.2500000000000004E-2</v>
      </c>
      <c r="I126">
        <v>8.2500000000000004E-2</v>
      </c>
      <c r="J126">
        <v>7.0699999999999999E-2</v>
      </c>
      <c r="K126">
        <v>7.8225601290383098E-2</v>
      </c>
      <c r="L126">
        <v>6.3441643739460193E-2</v>
      </c>
      <c r="M126">
        <v>7.6381515637950578E-2</v>
      </c>
      <c r="N126">
        <v>5.4274296887108192E-2</v>
      </c>
      <c r="O126">
        <v>5.3297395426919955E-2</v>
      </c>
      <c r="P126">
        <v>5.4421995439276061E-2</v>
      </c>
      <c r="Q126">
        <v>9.4937623827508935E-2</v>
      </c>
      <c r="R126">
        <v>8.0445567421181308E-2</v>
      </c>
    </row>
    <row r="127" spans="2:18">
      <c r="B127" t="s">
        <v>571</v>
      </c>
      <c r="C127">
        <v>2.1000000000000005E-2</v>
      </c>
      <c r="D127">
        <v>1.3499999999999998E-2</v>
      </c>
      <c r="E127">
        <v>1.0500000000000002E-2</v>
      </c>
      <c r="F127">
        <v>1.0499999999999995E-2</v>
      </c>
      <c r="G127">
        <v>1.0500000000000001E-2</v>
      </c>
      <c r="H127">
        <v>9.0000000000000011E-3</v>
      </c>
      <c r="I127">
        <v>9.0000000000000011E-3</v>
      </c>
      <c r="J127">
        <v>1.106E-2</v>
      </c>
      <c r="K127">
        <v>1.0002617869917839E-2</v>
      </c>
      <c r="L127">
        <v>8.1122101830785175E-3</v>
      </c>
      <c r="M127">
        <v>9.7668167537051567E-3</v>
      </c>
      <c r="N127">
        <v>6.9399920609744909E-3</v>
      </c>
      <c r="O127">
        <v>6.8150767922946836E-3</v>
      </c>
      <c r="P127">
        <v>6.958878105350055E-3</v>
      </c>
      <c r="Q127">
        <v>1.2171490234296015E-2</v>
      </c>
      <c r="R127">
        <v>1.0313534284766834E-2</v>
      </c>
    </row>
    <row r="128" spans="2:18">
      <c r="B128" t="s">
        <v>577</v>
      </c>
      <c r="C128" t="s">
        <v>799</v>
      </c>
      <c r="D128" t="s">
        <v>799</v>
      </c>
      <c r="E128" t="s">
        <v>799</v>
      </c>
      <c r="F128">
        <v>0.06</v>
      </c>
      <c r="G128">
        <v>0.06</v>
      </c>
      <c r="H128">
        <v>6.7500000000000004E-2</v>
      </c>
      <c r="I128">
        <v>6.7500000000000004E-2</v>
      </c>
      <c r="J128">
        <v>7.0699999999999999E-2</v>
      </c>
      <c r="K128">
        <v>6.3991106629346178E-2</v>
      </c>
      <c r="L128">
        <v>4.1497075167286269E-2</v>
      </c>
      <c r="M128">
        <v>4.9961024163184084E-2</v>
      </c>
      <c r="N128">
        <v>3.5500728619600283E-2</v>
      </c>
      <c r="O128">
        <v>3.4861738975968962E-2</v>
      </c>
      <c r="P128">
        <v>3.5597338000444512E-2</v>
      </c>
      <c r="Q128">
        <v>6.2074600194909679E-2</v>
      </c>
      <c r="R128">
        <v>5.2599024852310855E-2</v>
      </c>
    </row>
    <row r="129" spans="2:18">
      <c r="B129" t="s">
        <v>610</v>
      </c>
      <c r="C129" t="s">
        <v>799</v>
      </c>
      <c r="D129" t="s">
        <v>799</v>
      </c>
      <c r="E129" t="s">
        <v>799</v>
      </c>
      <c r="F129" t="s">
        <v>799</v>
      </c>
      <c r="G129" t="s">
        <v>799</v>
      </c>
      <c r="H129">
        <v>6.7500000000000004E-2</v>
      </c>
      <c r="I129">
        <v>6.7500000000000004E-2</v>
      </c>
      <c r="J129">
        <v>7.0699999999999999E-2</v>
      </c>
      <c r="K129">
        <v>6.3991106629346178E-2</v>
      </c>
      <c r="L129">
        <v>4.1497075167286269E-2</v>
      </c>
      <c r="M129">
        <v>4.9961024163184084E-2</v>
      </c>
      <c r="N129">
        <v>3.5500728619600283E-2</v>
      </c>
      <c r="O129">
        <v>3.4861738975968962E-2</v>
      </c>
      <c r="P129">
        <v>2.9709056526686765E-2</v>
      </c>
      <c r="Q129">
        <v>5.193169166632966E-2</v>
      </c>
      <c r="R129">
        <v>4.4004412948338498E-2</v>
      </c>
    </row>
    <row r="130" spans="2:18">
      <c r="B130" t="s">
        <v>794</v>
      </c>
      <c r="C130" t="s">
        <v>799</v>
      </c>
      <c r="D130" t="s">
        <v>799</v>
      </c>
      <c r="E130" t="s">
        <v>799</v>
      </c>
      <c r="F130" t="s">
        <v>799</v>
      </c>
      <c r="G130" t="s">
        <v>799</v>
      </c>
      <c r="H130" t="s">
        <v>799</v>
      </c>
      <c r="I130">
        <v>1.8000000000000002E-2</v>
      </c>
      <c r="J130">
        <v>1.89E-2</v>
      </c>
      <c r="K130">
        <v>1.7055745855116319E-2</v>
      </c>
      <c r="L130">
        <v>1.3832358389095424E-2</v>
      </c>
      <c r="M130">
        <v>1.665367472106136E-2</v>
      </c>
      <c r="N130">
        <v>1.1833576206533428E-2</v>
      </c>
      <c r="O130">
        <v>1.8435656450951004E-2</v>
      </c>
      <c r="P130">
        <v>2.1768798175710428E-2</v>
      </c>
      <c r="Q130">
        <v>4.3208790331750853E-2</v>
      </c>
      <c r="R130">
        <v>3.6613046710922269E-2</v>
      </c>
    </row>
    <row r="131" spans="2:18">
      <c r="B131" t="s">
        <v>580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2:18">
      <c r="B132" t="s">
        <v>622</v>
      </c>
      <c r="C132">
        <v>2.1000000000000005E-2</v>
      </c>
      <c r="D132">
        <v>1.3499999999999998E-2</v>
      </c>
      <c r="E132">
        <v>1.2749999999999997E-2</v>
      </c>
      <c r="F132">
        <v>1.2749999999999997E-2</v>
      </c>
      <c r="G132">
        <v>1.4999999999999999E-2</v>
      </c>
      <c r="H132">
        <v>1.2750000000000001E-2</v>
      </c>
      <c r="I132">
        <v>1.2750000000000001E-2</v>
      </c>
      <c r="J132">
        <v>1.3299999999999999E-2</v>
      </c>
      <c r="K132">
        <v>1.2054436920157396E-2</v>
      </c>
      <c r="L132">
        <v>9.7762532975561641E-3</v>
      </c>
      <c r="M132">
        <v>1.1770266344208781E-2</v>
      </c>
      <c r="N132">
        <v>8.36358017604618E-3</v>
      </c>
      <c r="O132">
        <v>8.2130412625089771E-3</v>
      </c>
      <c r="P132">
        <v>8.3863402808064744E-3</v>
      </c>
      <c r="Q132">
        <v>1.4605788281155217E-2</v>
      </c>
      <c r="R132">
        <v>1.2376241141720201E-2</v>
      </c>
    </row>
    <row r="133" spans="2:18">
      <c r="B133" t="s">
        <v>625</v>
      </c>
      <c r="C133">
        <v>1.4999999999999999E-2</v>
      </c>
      <c r="D133">
        <v>9.0000000000000011E-3</v>
      </c>
      <c r="E133">
        <v>7.4999999999999997E-3</v>
      </c>
      <c r="F133">
        <v>1.2749999999999997E-2</v>
      </c>
      <c r="G133">
        <v>2.6250000000000002E-2</v>
      </c>
      <c r="H133">
        <v>3.7500000000000006E-2</v>
      </c>
      <c r="I133">
        <v>3.7500000000000006E-2</v>
      </c>
      <c r="J133">
        <v>3.458E-2</v>
      </c>
      <c r="K133">
        <v>3.1290240516153235E-2</v>
      </c>
      <c r="L133">
        <v>1.8408476953908945E-2</v>
      </c>
      <c r="M133">
        <v>2.2163161094946322E-2</v>
      </c>
      <c r="N133">
        <v>1.5748443522980576E-2</v>
      </c>
      <c r="O133">
        <v>1.1620579658656319E-2</v>
      </c>
      <c r="P133">
        <v>1.1865779333481504E-2</v>
      </c>
      <c r="Q133">
        <v>2.0691533398303225E-2</v>
      </c>
      <c r="R133">
        <v>1.7533008284103618E-2</v>
      </c>
    </row>
    <row r="134" spans="2:18">
      <c r="B134" t="s">
        <v>592</v>
      </c>
      <c r="C134" t="s">
        <v>799</v>
      </c>
      <c r="D134" t="s">
        <v>799</v>
      </c>
      <c r="E134" t="s">
        <v>799</v>
      </c>
      <c r="F134" t="s">
        <v>799</v>
      </c>
      <c r="G134" t="s">
        <v>799</v>
      </c>
      <c r="H134" t="s">
        <v>799</v>
      </c>
      <c r="I134" t="s">
        <v>799</v>
      </c>
      <c r="J134" t="s">
        <v>799</v>
      </c>
      <c r="K134" t="s">
        <v>799</v>
      </c>
      <c r="L134" t="s">
        <v>799</v>
      </c>
      <c r="M134">
        <v>9.028044717206947E-2</v>
      </c>
      <c r="N134">
        <v>6.4150439435418039E-2</v>
      </c>
      <c r="O134">
        <v>6.2995773939031607E-2</v>
      </c>
      <c r="P134">
        <v>7.4138816737767899E-2</v>
      </c>
      <c r="Q134">
        <v>0.12942351282468095</v>
      </c>
      <c r="R134">
        <v>0.10966724789468733</v>
      </c>
    </row>
    <row r="135" spans="2:18">
      <c r="B135" t="s">
        <v>735</v>
      </c>
      <c r="C135">
        <v>2.4000000000000007E-2</v>
      </c>
      <c r="D135">
        <v>1.8000000000000002E-2</v>
      </c>
      <c r="E135">
        <v>1.7250000000000001E-2</v>
      </c>
      <c r="F135">
        <v>1.7250000000000001E-2</v>
      </c>
      <c r="G135">
        <v>2.2499999999999999E-2</v>
      </c>
      <c r="H135">
        <v>2.4E-2</v>
      </c>
      <c r="I135">
        <v>2.8499999999999998E-2</v>
      </c>
      <c r="J135">
        <v>2.9819999999999996E-2</v>
      </c>
      <c r="K135">
        <v>2.7058363725034153E-2</v>
      </c>
      <c r="L135">
        <v>2.5376657495784077E-2</v>
      </c>
      <c r="M135">
        <v>3.0552606255180234E-2</v>
      </c>
      <c r="N135">
        <v>2.1709718754843278E-2</v>
      </c>
      <c r="O135">
        <v>2.9095135536334988E-2</v>
      </c>
      <c r="P135">
        <v>2.9709056526686765E-2</v>
      </c>
      <c r="Q135">
        <v>5.193169166632966E-2</v>
      </c>
      <c r="R135">
        <v>4.4004412948338498E-2</v>
      </c>
    </row>
    <row r="136" spans="2:18">
      <c r="B136" t="s">
        <v>216</v>
      </c>
      <c r="C136">
        <v>0</v>
      </c>
      <c r="D136">
        <v>0</v>
      </c>
      <c r="E136">
        <v>3.7500000000000033E-3</v>
      </c>
      <c r="F136">
        <v>1.2749999999999997E-2</v>
      </c>
      <c r="G136">
        <v>0.03</v>
      </c>
      <c r="H136">
        <v>3.3000000000000002E-2</v>
      </c>
      <c r="I136">
        <v>2.8499999999999998E-2</v>
      </c>
      <c r="J136">
        <v>2.9819999999999996E-2</v>
      </c>
      <c r="K136">
        <v>2.7058363725034153E-2</v>
      </c>
      <c r="L136">
        <v>2.1944568572173941E-2</v>
      </c>
      <c r="M136">
        <v>2.2163161094946322E-2</v>
      </c>
      <c r="N136">
        <v>1.5748443522980576E-2</v>
      </c>
      <c r="O136">
        <v>1.5464981951745628E-2</v>
      </c>
      <c r="P136">
        <v>1.5791300315986662E-2</v>
      </c>
      <c r="Q136">
        <v>2.758871119773763E-2</v>
      </c>
      <c r="R136">
        <v>2.3377344378804822E-2</v>
      </c>
    </row>
    <row r="137" spans="2:18">
      <c r="B137" t="s">
        <v>395</v>
      </c>
      <c r="C137" t="s">
        <v>799</v>
      </c>
      <c r="D137" t="s">
        <v>799</v>
      </c>
      <c r="E137">
        <v>0.06</v>
      </c>
      <c r="F137">
        <v>0.06</v>
      </c>
      <c r="G137">
        <v>0.06</v>
      </c>
      <c r="H137">
        <v>6.7500000000000004E-2</v>
      </c>
      <c r="I137">
        <v>6.7500000000000004E-2</v>
      </c>
      <c r="J137">
        <v>7.0699999999999999E-2</v>
      </c>
      <c r="K137">
        <v>6.3991106629346178E-2</v>
      </c>
      <c r="L137">
        <v>5.1897344632771548E-2</v>
      </c>
      <c r="M137">
        <v>6.2482584103831722E-2</v>
      </c>
      <c r="N137">
        <v>5.4274296887108192E-2</v>
      </c>
      <c r="O137">
        <v>7.2606779671754898E-2</v>
      </c>
      <c r="P137">
        <v>8.9037953194094299E-2</v>
      </c>
      <c r="Q137">
        <v>0.20711819215360386</v>
      </c>
      <c r="R137">
        <v>0.17550197507911564</v>
      </c>
    </row>
    <row r="138" spans="2:18">
      <c r="B138" t="s">
        <v>795</v>
      </c>
      <c r="C138" t="s">
        <v>799</v>
      </c>
      <c r="D138" t="s">
        <v>799</v>
      </c>
      <c r="E138" t="s">
        <v>799</v>
      </c>
      <c r="F138" t="s">
        <v>799</v>
      </c>
      <c r="G138">
        <v>2.2499999999999999E-2</v>
      </c>
      <c r="H138">
        <v>2.4E-2</v>
      </c>
      <c r="I138">
        <v>2.4E-2</v>
      </c>
      <c r="J138">
        <v>2.9819999999999996E-2</v>
      </c>
      <c r="K138">
        <v>2.7058363725034153E-2</v>
      </c>
      <c r="L138">
        <v>2.1944568572173941E-2</v>
      </c>
      <c r="M138">
        <v>2.6420491474766512E-2</v>
      </c>
      <c r="N138">
        <v>2.1709718754843278E-2</v>
      </c>
      <c r="O138">
        <v>2.1318958170767986E-2</v>
      </c>
      <c r="P138">
        <v>2.9709056526686765E-2</v>
      </c>
      <c r="Q138">
        <v>5.193169166632966E-2</v>
      </c>
      <c r="R138">
        <v>4.4004412948338498E-2</v>
      </c>
    </row>
    <row r="139" spans="2:18">
      <c r="B139" t="s">
        <v>796</v>
      </c>
      <c r="C139">
        <v>9.7500000000000017E-2</v>
      </c>
      <c r="D139">
        <v>6.7500000000000004E-2</v>
      </c>
      <c r="E139">
        <v>0.06</v>
      </c>
      <c r="F139">
        <v>0.06</v>
      </c>
      <c r="G139">
        <v>7.5000000000000011E-2</v>
      </c>
      <c r="H139">
        <v>8.2500000000000004E-2</v>
      </c>
      <c r="I139">
        <v>9.7500000000000003E-2</v>
      </c>
      <c r="J139">
        <v>0.10206</v>
      </c>
      <c r="K139">
        <v>9.2460095951420018E-2</v>
      </c>
      <c r="L139">
        <v>7.4985942846148873E-2</v>
      </c>
      <c r="M139">
        <v>9.028044717206947E-2</v>
      </c>
      <c r="N139">
        <v>6.4150439435418039E-2</v>
      </c>
      <c r="O139">
        <v>6.2995773939031607E-2</v>
      </c>
      <c r="P139">
        <v>6.4325014281504972E-2</v>
      </c>
      <c r="Q139">
        <v>0.11218056832609494</v>
      </c>
      <c r="R139">
        <v>9.5056407657934314E-2</v>
      </c>
    </row>
    <row r="140" spans="2:18">
      <c r="B140" t="s">
        <v>619</v>
      </c>
      <c r="C140">
        <v>7.8750000000000001E-2</v>
      </c>
      <c r="D140">
        <v>5.2500000000000005E-2</v>
      </c>
      <c r="E140">
        <v>4.8750000000000002E-2</v>
      </c>
      <c r="F140">
        <v>4.8750000000000002E-2</v>
      </c>
      <c r="G140">
        <v>4.8750000000000002E-2</v>
      </c>
      <c r="H140">
        <v>5.3999999999999992E-2</v>
      </c>
      <c r="I140">
        <v>5.3999999999999992E-2</v>
      </c>
      <c r="J140">
        <v>7.0699999999999999E-2</v>
      </c>
      <c r="K140">
        <v>6.3991106629346178E-2</v>
      </c>
      <c r="L140">
        <v>5.1897344632771548E-2</v>
      </c>
      <c r="M140">
        <v>7.6381515637950578E-2</v>
      </c>
      <c r="N140">
        <v>5.4274296887108192E-2</v>
      </c>
      <c r="O140">
        <v>9.6809039562339869E-2</v>
      </c>
      <c r="P140">
        <v>9.8851755650357198E-2</v>
      </c>
      <c r="Q140">
        <v>0.17263230315643183</v>
      </c>
      <c r="R140">
        <v>0.14628029460560962</v>
      </c>
    </row>
    <row r="141" spans="2:18">
      <c r="B141" t="s">
        <v>631</v>
      </c>
      <c r="C141" t="s">
        <v>799</v>
      </c>
      <c r="D141" t="s">
        <v>799</v>
      </c>
      <c r="E141" t="s">
        <v>799</v>
      </c>
      <c r="F141" t="s">
        <v>799</v>
      </c>
      <c r="G141" t="s">
        <v>799</v>
      </c>
      <c r="H141" t="s">
        <v>799</v>
      </c>
      <c r="I141" t="s">
        <v>799</v>
      </c>
      <c r="J141" t="s">
        <v>799</v>
      </c>
      <c r="K141" t="s">
        <v>799</v>
      </c>
      <c r="L141">
        <v>6.3441643739460193E-2</v>
      </c>
      <c r="M141">
        <v>7.6381515637950578E-2</v>
      </c>
      <c r="N141">
        <v>5.4274296887108192E-2</v>
      </c>
      <c r="O141">
        <v>6.2995773939031607E-2</v>
      </c>
      <c r="P141">
        <v>6.4325014281504972E-2</v>
      </c>
      <c r="Q141">
        <v>0.11218056832609494</v>
      </c>
      <c r="R141">
        <v>9.5056407657934314E-2</v>
      </c>
    </row>
    <row r="142" spans="2:18">
      <c r="B142" t="s">
        <v>628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2:18">
      <c r="B143" t="s">
        <v>136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2:18">
      <c r="B144" t="s">
        <v>681</v>
      </c>
      <c r="C144" t="s">
        <v>799</v>
      </c>
      <c r="D144" t="s">
        <v>799</v>
      </c>
      <c r="E144">
        <v>1.0500000000000002E-2</v>
      </c>
      <c r="F144" t="s">
        <v>799</v>
      </c>
      <c r="G144" t="s">
        <v>799</v>
      </c>
      <c r="H144">
        <v>9.0000000000000011E-3</v>
      </c>
      <c r="I144">
        <v>9.0000000000000011E-3</v>
      </c>
      <c r="J144">
        <v>9.5199999999999989E-3</v>
      </c>
      <c r="K144">
        <v>8.5919922728781434E-3</v>
      </c>
      <c r="L144">
        <v>6.9681805418751368E-3</v>
      </c>
      <c r="M144">
        <v>8.389445160233917E-3</v>
      </c>
      <c r="N144">
        <v>5.9612752318627038E-3</v>
      </c>
      <c r="O144">
        <v>5.8539762190223561E-3</v>
      </c>
      <c r="P144">
        <v>5.9774978597237644E-3</v>
      </c>
      <c r="Q144">
        <v>1.0345766699151613E-2</v>
      </c>
      <c r="R144">
        <v>8.7665041420518092E-3</v>
      </c>
    </row>
    <row r="145" spans="2:18">
      <c r="B145" t="s">
        <v>654</v>
      </c>
      <c r="C145" t="s">
        <v>799</v>
      </c>
      <c r="D145" t="s">
        <v>799</v>
      </c>
      <c r="E145" t="s">
        <v>799</v>
      </c>
      <c r="F145" t="s">
        <v>799</v>
      </c>
      <c r="G145" t="s">
        <v>799</v>
      </c>
      <c r="H145" t="s">
        <v>799</v>
      </c>
      <c r="I145" t="s">
        <v>799</v>
      </c>
      <c r="J145" t="s">
        <v>799</v>
      </c>
      <c r="K145" t="s">
        <v>799</v>
      </c>
      <c r="L145">
        <v>7.4985942846148873E-2</v>
      </c>
      <c r="M145">
        <v>9.028044717206947E-2</v>
      </c>
      <c r="N145">
        <v>6.4150439435418039E-2</v>
      </c>
      <c r="O145">
        <v>6.2995773939031607E-2</v>
      </c>
      <c r="P145">
        <v>6.4325014281504972E-2</v>
      </c>
      <c r="Q145">
        <v>0.11218056832609494</v>
      </c>
      <c r="R145">
        <v>9.5056407657934314E-2</v>
      </c>
    </row>
    <row r="146" spans="2:18">
      <c r="B146" t="s">
        <v>684</v>
      </c>
      <c r="C146" t="s">
        <v>799</v>
      </c>
      <c r="D146" t="s">
        <v>799</v>
      </c>
      <c r="E146" t="s">
        <v>799</v>
      </c>
      <c r="F146" t="s">
        <v>799</v>
      </c>
      <c r="G146" t="s">
        <v>799</v>
      </c>
      <c r="H146" t="s">
        <v>799</v>
      </c>
      <c r="I146" t="s">
        <v>799</v>
      </c>
      <c r="J146" t="s">
        <v>799</v>
      </c>
      <c r="K146" t="s">
        <v>799</v>
      </c>
      <c r="L146" t="s">
        <v>799</v>
      </c>
      <c r="M146">
        <v>6.2482584103831722E-2</v>
      </c>
      <c r="N146">
        <v>4.4398154338798353E-2</v>
      </c>
      <c r="O146">
        <v>5.3297395426919955E-2</v>
      </c>
      <c r="P146">
        <v>5.4421995439276061E-2</v>
      </c>
      <c r="Q146">
        <v>9.4937623827508935E-2</v>
      </c>
      <c r="R146">
        <v>8.0445567421181308E-2</v>
      </c>
    </row>
    <row r="147" spans="2:18">
      <c r="B147" t="s">
        <v>651</v>
      </c>
      <c r="C147">
        <v>0.03</v>
      </c>
      <c r="D147">
        <v>2.4000000000000007E-2</v>
      </c>
      <c r="E147">
        <v>2.2500000000000006E-2</v>
      </c>
      <c r="F147">
        <v>2.2499999999999992E-2</v>
      </c>
      <c r="G147">
        <v>2.2499999999999999E-2</v>
      </c>
      <c r="H147">
        <v>2.4E-2</v>
      </c>
      <c r="I147">
        <v>2.4E-2</v>
      </c>
      <c r="J147">
        <v>2.5059999999999999E-2</v>
      </c>
      <c r="K147">
        <v>2.2698248243275099E-2</v>
      </c>
      <c r="L147">
        <v>1.8408476953908945E-2</v>
      </c>
      <c r="M147">
        <v>2.2163161094946322E-2</v>
      </c>
      <c r="N147">
        <v>1.5748443522980576E-2</v>
      </c>
      <c r="O147">
        <v>1.5464981951745628E-2</v>
      </c>
      <c r="P147">
        <v>1.5791300315986662E-2</v>
      </c>
      <c r="Q147">
        <v>2.758871119773763E-2</v>
      </c>
      <c r="R147">
        <v>2.3377344378804822E-2</v>
      </c>
    </row>
    <row r="148" spans="2:18">
      <c r="B148" t="s">
        <v>648</v>
      </c>
      <c r="C148" t="s">
        <v>799</v>
      </c>
      <c r="D148" t="s">
        <v>799</v>
      </c>
      <c r="E148" t="s">
        <v>799</v>
      </c>
      <c r="F148" t="s">
        <v>799</v>
      </c>
      <c r="G148" t="s">
        <v>799</v>
      </c>
      <c r="H148" t="s">
        <v>799</v>
      </c>
      <c r="I148" t="s">
        <v>799</v>
      </c>
      <c r="J148" t="s">
        <v>799</v>
      </c>
      <c r="K148" t="s">
        <v>799</v>
      </c>
      <c r="L148" t="s">
        <v>799</v>
      </c>
      <c r="M148" t="s">
        <v>799</v>
      </c>
      <c r="N148">
        <v>6.4150439435418039E-2</v>
      </c>
      <c r="O148">
        <v>6.2995773939031607E-2</v>
      </c>
      <c r="P148">
        <v>6.4325014281504972E-2</v>
      </c>
      <c r="Q148">
        <v>0.11218056832609494</v>
      </c>
      <c r="R148">
        <v>9.5056407657934314E-2</v>
      </c>
    </row>
    <row r="149" spans="2:18">
      <c r="B149" t="s">
        <v>669</v>
      </c>
      <c r="C149">
        <v>0.03</v>
      </c>
      <c r="D149">
        <v>2.4000000000000007E-2</v>
      </c>
      <c r="E149">
        <v>2.2500000000000006E-2</v>
      </c>
      <c r="F149">
        <v>2.2499999999999992E-2</v>
      </c>
      <c r="G149">
        <v>2.2499999999999999E-2</v>
      </c>
      <c r="H149">
        <v>2.4E-2</v>
      </c>
      <c r="I149">
        <v>2.4E-2</v>
      </c>
      <c r="J149">
        <v>2.9819999999999996E-2</v>
      </c>
      <c r="K149">
        <v>3.1290240516153235E-2</v>
      </c>
      <c r="L149">
        <v>2.8808746419394224E-2</v>
      </c>
      <c r="M149">
        <v>3.468472103559396E-2</v>
      </c>
      <c r="N149">
        <v>2.4645869242178643E-2</v>
      </c>
      <c r="O149">
        <v>2.4202259890584967E-2</v>
      </c>
      <c r="P149">
        <v>2.9709056526686765E-2</v>
      </c>
      <c r="Q149">
        <v>5.193169166632966E-2</v>
      </c>
      <c r="R149">
        <v>4.4004412948338498E-2</v>
      </c>
    </row>
    <row r="150" spans="2:18">
      <c r="B150" t="s">
        <v>672</v>
      </c>
      <c r="C150">
        <v>3.3750000000000002E-2</v>
      </c>
      <c r="D150">
        <v>2.6999999999999996E-2</v>
      </c>
      <c r="E150">
        <v>2.6250000000000009E-2</v>
      </c>
      <c r="F150">
        <v>0.03</v>
      </c>
      <c r="G150">
        <v>0.03</v>
      </c>
      <c r="H150">
        <v>5.3999999999999992E-2</v>
      </c>
      <c r="I150">
        <v>5.3999999999999992E-2</v>
      </c>
      <c r="J150">
        <v>5.6559999999999992E-2</v>
      </c>
      <c r="K150">
        <v>5.1167237565348946E-2</v>
      </c>
      <c r="L150">
        <v>5.1897344632771548E-2</v>
      </c>
      <c r="M150">
        <v>7.6381515637950578E-2</v>
      </c>
      <c r="N150">
        <v>5.4274296887108192E-2</v>
      </c>
      <c r="O150">
        <v>5.3297395426919955E-2</v>
      </c>
      <c r="P150">
        <v>7.4138816737767899E-2</v>
      </c>
      <c r="Q150">
        <v>0.12942351282468095</v>
      </c>
      <c r="R150">
        <v>0.13166945436885658</v>
      </c>
    </row>
    <row r="151" spans="2:18">
      <c r="B151" t="s">
        <v>675</v>
      </c>
      <c r="C151">
        <v>7.8750000000000001E-2</v>
      </c>
      <c r="D151">
        <v>5.2500000000000005E-2</v>
      </c>
      <c r="E151">
        <v>4.1249999999999995E-2</v>
      </c>
      <c r="F151">
        <v>4.1250000000000009E-2</v>
      </c>
      <c r="G151">
        <v>3.6000000000000004E-2</v>
      </c>
      <c r="H151">
        <v>3.3000000000000002E-2</v>
      </c>
      <c r="I151">
        <v>3.3000000000000002E-2</v>
      </c>
      <c r="J151">
        <v>3.458E-2</v>
      </c>
      <c r="K151">
        <v>3.5522117307272325E-2</v>
      </c>
      <c r="L151">
        <v>2.8808746419394224E-2</v>
      </c>
      <c r="M151">
        <v>4.9961024163184084E-2</v>
      </c>
      <c r="N151">
        <v>4.4398154338798353E-2</v>
      </c>
      <c r="O151">
        <v>5.3297395426919955E-2</v>
      </c>
      <c r="P151">
        <v>5.4421995439276061E-2</v>
      </c>
      <c r="Q151">
        <v>0.11218056832609494</v>
      </c>
      <c r="R151">
        <v>9.5056407657934314E-2</v>
      </c>
    </row>
    <row r="152" spans="2:18">
      <c r="B152" t="s">
        <v>642</v>
      </c>
      <c r="C152" t="s">
        <v>799</v>
      </c>
      <c r="D152" t="s">
        <v>799</v>
      </c>
      <c r="E152" t="s">
        <v>799</v>
      </c>
      <c r="F152" t="s">
        <v>799</v>
      </c>
      <c r="G152" t="s">
        <v>799</v>
      </c>
      <c r="H152" t="s">
        <v>799</v>
      </c>
      <c r="I152">
        <v>2.4E-2</v>
      </c>
      <c r="J152">
        <v>2.5059999999999999E-2</v>
      </c>
      <c r="K152">
        <v>0.10656635192181697</v>
      </c>
      <c r="L152">
        <v>1.8408476953908945E-2</v>
      </c>
      <c r="M152">
        <v>2.2163161094946322E-2</v>
      </c>
      <c r="N152">
        <v>1.5748443522980576E-2</v>
      </c>
      <c r="O152">
        <v>1.5464981951745628E-2</v>
      </c>
      <c r="P152">
        <v>1.5791300315986662E-2</v>
      </c>
      <c r="Q152">
        <v>2.758871119773763E-2</v>
      </c>
      <c r="R152">
        <v>2.3377344378804822E-2</v>
      </c>
    </row>
    <row r="153" spans="2:18">
      <c r="B153" t="s">
        <v>687</v>
      </c>
      <c r="C153" t="s">
        <v>799</v>
      </c>
      <c r="D153" t="s">
        <v>799</v>
      </c>
      <c r="E153" t="s">
        <v>799</v>
      </c>
      <c r="F153" t="s">
        <v>799</v>
      </c>
      <c r="G153" t="s">
        <v>799</v>
      </c>
      <c r="H153">
        <v>6.7500000000000004E-2</v>
      </c>
      <c r="I153">
        <v>6.7500000000000004E-2</v>
      </c>
      <c r="J153">
        <v>7.0699999999999999E-2</v>
      </c>
      <c r="K153">
        <v>7.8225601290383098E-2</v>
      </c>
      <c r="L153">
        <v>6.3441643739460193E-2</v>
      </c>
      <c r="M153">
        <v>7.6381515637950578E-2</v>
      </c>
      <c r="N153">
        <v>5.4274296887108192E-2</v>
      </c>
      <c r="O153">
        <v>5.3297395426919955E-2</v>
      </c>
      <c r="P153">
        <v>5.4421995439276061E-2</v>
      </c>
      <c r="Q153">
        <v>9.4937623827508935E-2</v>
      </c>
      <c r="R153">
        <v>8.0445567421181308E-2</v>
      </c>
    </row>
    <row r="154" spans="2:18">
      <c r="B154" t="s">
        <v>690</v>
      </c>
      <c r="C154">
        <v>9.7500000000000017E-2</v>
      </c>
      <c r="D154">
        <v>8.2500000000000004E-2</v>
      </c>
      <c r="E154">
        <v>7.4999999999999997E-2</v>
      </c>
      <c r="F154">
        <v>7.5000000000000011E-2</v>
      </c>
      <c r="G154">
        <v>0.09</v>
      </c>
      <c r="H154">
        <v>0.11249999999999999</v>
      </c>
      <c r="I154">
        <v>0.15000000000000002</v>
      </c>
      <c r="J154">
        <v>0.15694</v>
      </c>
      <c r="K154">
        <v>0.1420884692290893</v>
      </c>
      <c r="L154">
        <v>0.1037946892655431</v>
      </c>
      <c r="M154">
        <v>0.10405416310678188</v>
      </c>
      <c r="N154">
        <v>7.3937607726535931E-2</v>
      </c>
      <c r="O154">
        <v>6.2995773939031607E-2</v>
      </c>
      <c r="P154">
        <v>6.4325014281504972E-2</v>
      </c>
      <c r="Q154">
        <v>0.17263230315643183</v>
      </c>
      <c r="R154">
        <v>0.17550197507911564</v>
      </c>
    </row>
    <row r="155" spans="2:18">
      <c r="B155" t="s">
        <v>34</v>
      </c>
      <c r="C155">
        <v>1.4999999999999999E-2</v>
      </c>
      <c r="D155">
        <v>9.0000000000000011E-3</v>
      </c>
      <c r="E155">
        <v>7.4999999999999997E-3</v>
      </c>
      <c r="F155">
        <v>7.5000000000000067E-3</v>
      </c>
      <c r="G155">
        <v>7.4999999999999997E-3</v>
      </c>
      <c r="H155">
        <v>7.4999999999999997E-3</v>
      </c>
      <c r="I155">
        <v>7.4999999999999997E-3</v>
      </c>
      <c r="J155">
        <v>7.8399999999999997E-3</v>
      </c>
      <c r="K155">
        <v>7.0531279851984751E-3</v>
      </c>
      <c r="L155">
        <v>5.7201482060169036E-3</v>
      </c>
      <c r="M155">
        <v>6.8868579673562009E-3</v>
      </c>
      <c r="N155">
        <v>4.8935841455589359E-3</v>
      </c>
      <c r="O155">
        <v>4.8055028663616358E-3</v>
      </c>
      <c r="P155">
        <v>4.9069012281314477E-3</v>
      </c>
      <c r="Q155">
        <v>8.5200431640072103E-3</v>
      </c>
      <c r="R155">
        <v>7.2194739993367832E-3</v>
      </c>
    </row>
    <row r="156" spans="2:18">
      <c r="B156" t="s">
        <v>246</v>
      </c>
      <c r="C156">
        <v>0</v>
      </c>
      <c r="D156">
        <v>0</v>
      </c>
      <c r="E156">
        <v>0</v>
      </c>
      <c r="F156">
        <v>0</v>
      </c>
      <c r="G156" t="s">
        <v>799</v>
      </c>
      <c r="H156">
        <v>6.0000000000000001E-3</v>
      </c>
      <c r="I156">
        <v>6.0000000000000001E-3</v>
      </c>
      <c r="J156">
        <v>6.2999999999999992E-3</v>
      </c>
      <c r="K156">
        <v>5.6425023881587809E-3</v>
      </c>
      <c r="L156">
        <v>5.7201482060169036E-3</v>
      </c>
      <c r="M156">
        <v>6.8868579673562009E-3</v>
      </c>
      <c r="N156">
        <v>4.8935841455589359E-3</v>
      </c>
      <c r="O156">
        <v>5.8539762190223561E-3</v>
      </c>
      <c r="P156">
        <v>5.9774978597237644E-3</v>
      </c>
      <c r="Q156">
        <v>1.0345766699151613E-2</v>
      </c>
      <c r="R156">
        <v>8.7665041420518092E-3</v>
      </c>
    </row>
    <row r="157" spans="2:18">
      <c r="B157" t="s">
        <v>698</v>
      </c>
      <c r="C157">
        <v>0</v>
      </c>
      <c r="D157">
        <v>0</v>
      </c>
      <c r="E157">
        <v>0</v>
      </c>
      <c r="F157">
        <v>0</v>
      </c>
      <c r="G157" t="s">
        <v>799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2:18">
      <c r="B158" t="s">
        <v>696</v>
      </c>
      <c r="C158">
        <v>9.7500000000000017E-2</v>
      </c>
      <c r="D158">
        <v>5.2500000000000005E-2</v>
      </c>
      <c r="E158">
        <v>3.6000000000000004E-2</v>
      </c>
      <c r="F158">
        <v>3.6000000000000004E-2</v>
      </c>
      <c r="G158">
        <v>0.03</v>
      </c>
      <c r="H158">
        <v>3.3000000000000002E-2</v>
      </c>
      <c r="I158">
        <v>2.8499999999999998E-2</v>
      </c>
      <c r="J158">
        <v>2.9819999999999996E-2</v>
      </c>
      <c r="K158">
        <v>2.7058363725034153E-2</v>
      </c>
      <c r="L158">
        <v>2.1944568572173941E-2</v>
      </c>
      <c r="M158">
        <v>2.6420491474766512E-2</v>
      </c>
      <c r="N158">
        <v>4.4398154338798353E-2</v>
      </c>
      <c r="O158">
        <v>1.8435656450951004E-2</v>
      </c>
      <c r="P158">
        <v>1.8824657438831559E-2</v>
      </c>
      <c r="Q158">
        <v>3.2863023632599235E-2</v>
      </c>
      <c r="R158">
        <v>2.7846542568870453E-2</v>
      </c>
    </row>
    <row r="159" spans="2:18">
      <c r="B159" t="s">
        <v>701</v>
      </c>
      <c r="C159" t="s">
        <v>799</v>
      </c>
      <c r="D159" t="s">
        <v>799</v>
      </c>
      <c r="E159" t="s">
        <v>799</v>
      </c>
      <c r="F159" t="s">
        <v>799</v>
      </c>
      <c r="G159" t="s">
        <v>799</v>
      </c>
      <c r="H159" t="s">
        <v>799</v>
      </c>
      <c r="I159" t="s">
        <v>799</v>
      </c>
      <c r="J159" t="s">
        <v>799</v>
      </c>
      <c r="K159" t="s">
        <v>799</v>
      </c>
      <c r="L159" t="s">
        <v>799</v>
      </c>
      <c r="M159" t="s">
        <v>799</v>
      </c>
      <c r="N159">
        <v>1.8773568267507916E-2</v>
      </c>
      <c r="O159">
        <v>4.3599016914808296E-2</v>
      </c>
      <c r="P159">
        <v>4.451897659704715E-2</v>
      </c>
      <c r="Q159">
        <v>7.7694679328922892E-2</v>
      </c>
      <c r="R159">
        <v>5.2599024852310855E-2</v>
      </c>
    </row>
    <row r="160" spans="2:18">
      <c r="B160" t="s">
        <v>777</v>
      </c>
      <c r="C160">
        <v>9.7500000000000017E-2</v>
      </c>
      <c r="D160">
        <v>6.7500000000000004E-2</v>
      </c>
      <c r="E160">
        <v>0.06</v>
      </c>
      <c r="F160">
        <v>0.06</v>
      </c>
      <c r="G160">
        <v>0.06</v>
      </c>
      <c r="H160">
        <v>0.11249999999999999</v>
      </c>
      <c r="I160">
        <v>0.11249999999999999</v>
      </c>
      <c r="J160">
        <v>0.15694</v>
      </c>
      <c r="K160">
        <v>0.1420884692290893</v>
      </c>
      <c r="L160">
        <v>0.1152349856775769</v>
      </c>
      <c r="M160">
        <v>0.22141366218902891</v>
      </c>
      <c r="N160">
        <v>0.17693731481802288</v>
      </c>
      <c r="O160">
        <v>0.19178657542527283</v>
      </c>
      <c r="P160">
        <v>0.20339488157642377</v>
      </c>
      <c r="Q160">
        <v>0.2468593048582631</v>
      </c>
      <c r="R160">
        <v>0.23492692770782936</v>
      </c>
    </row>
    <row r="161" spans="2:18">
      <c r="B161" t="s">
        <v>717</v>
      </c>
      <c r="C161">
        <v>7.8750000000000001E-2</v>
      </c>
      <c r="D161">
        <v>5.2500000000000005E-2</v>
      </c>
      <c r="E161">
        <v>0.06</v>
      </c>
      <c r="F161">
        <v>0.06</v>
      </c>
      <c r="G161">
        <v>7.5000000000000011E-2</v>
      </c>
      <c r="H161">
        <v>8.2500000000000004E-2</v>
      </c>
      <c r="I161">
        <v>6.7500000000000004E-2</v>
      </c>
      <c r="J161">
        <v>7.0699999999999999E-2</v>
      </c>
      <c r="K161">
        <v>6.3991106629346178E-2</v>
      </c>
      <c r="L161">
        <v>5.1897344632771548E-2</v>
      </c>
      <c r="M161">
        <v>4.9961024163184084E-2</v>
      </c>
      <c r="N161">
        <v>3.5500728619600283E-2</v>
      </c>
      <c r="O161">
        <v>3.4861738975968962E-2</v>
      </c>
      <c r="P161">
        <v>3.5597338000444512E-2</v>
      </c>
      <c r="Q161">
        <v>5.193169166632966E-2</v>
      </c>
      <c r="R161">
        <v>4.4004412948338498E-2</v>
      </c>
    </row>
    <row r="162" spans="2:18">
      <c r="B162" t="s">
        <v>738</v>
      </c>
      <c r="C162" t="s">
        <v>799</v>
      </c>
      <c r="D162" t="s">
        <v>799</v>
      </c>
      <c r="E162" t="s">
        <v>799</v>
      </c>
      <c r="F162" t="s">
        <v>799</v>
      </c>
      <c r="G162">
        <v>0.06</v>
      </c>
      <c r="H162">
        <v>6.7500000000000004E-2</v>
      </c>
      <c r="I162">
        <v>6.7500000000000004E-2</v>
      </c>
      <c r="J162">
        <v>0.10206</v>
      </c>
      <c r="K162">
        <v>9.2460095951420018E-2</v>
      </c>
      <c r="L162">
        <v>7.4985942846148873E-2</v>
      </c>
      <c r="M162">
        <v>0.10405416310678188</v>
      </c>
      <c r="N162">
        <v>8.8796308677596705E-2</v>
      </c>
      <c r="O162">
        <v>0.11620579658656319</v>
      </c>
      <c r="P162">
        <v>0.11865779333481502</v>
      </c>
      <c r="Q162">
        <v>0.20711819215360386</v>
      </c>
      <c r="R162">
        <v>0.14628029460560962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FC5D2-212F-4E4E-975A-E0B9A263D8D2}">
  <sheetPr>
    <tabColor theme="9" tint="0.79998168889431442"/>
  </sheetPr>
  <dimension ref="A2:S5"/>
  <sheetViews>
    <sheetView workbookViewId="0">
      <selection activeCell="S2" sqref="S2:AW2"/>
    </sheetView>
  </sheetViews>
  <sheetFormatPr baseColWidth="10" defaultRowHeight="16"/>
  <cols>
    <col min="1" max="1" width="2.83203125" customWidth="1"/>
    <col min="2" max="2" width="28.5" bestFit="1" customWidth="1"/>
  </cols>
  <sheetData>
    <row r="2" spans="1:19" s="32" customFormat="1">
      <c r="A2" s="30"/>
      <c r="B2" s="31" t="str" cm="1">
        <f t="array" aca="1" ref="B2" ca="1">MID(CELL("filename", A1), FIND("]", CELL("filename", A1)) + 1, 255)</f>
        <v>Infrastructure Premium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</row>
    <row r="5" spans="1:19">
      <c r="B5" t="s">
        <v>826</v>
      </c>
      <c r="C5" s="27">
        <v>0.02</v>
      </c>
      <c r="E5" t="s">
        <v>825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39F80-FB7C-AF4F-98AF-1D869D0E46FA}">
  <sheetPr>
    <tabColor theme="9" tint="0.79998168889431442"/>
  </sheetPr>
  <dimension ref="A2:S28"/>
  <sheetViews>
    <sheetView workbookViewId="0">
      <selection activeCell="S2" sqref="S2:AW2"/>
    </sheetView>
  </sheetViews>
  <sheetFormatPr baseColWidth="10" defaultRowHeight="16"/>
  <cols>
    <col min="1" max="1" width="2.83203125" style="7" customWidth="1"/>
    <col min="2" max="2" width="10.83203125" style="10"/>
    <col min="3" max="3" width="13" style="7" bestFit="1" customWidth="1"/>
    <col min="4" max="16384" width="10.83203125" style="7"/>
  </cols>
  <sheetData>
    <row r="2" spans="1:19" s="32" customFormat="1">
      <c r="A2" s="30"/>
      <c r="B2" s="31" t="str" cm="1">
        <f t="array" aca="1" ref="B2" ca="1">MID(CELL("filename", A1), FIND("]", CELL("filename", A1)) + 1, 255)</f>
        <v>Region and Tech Premium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</row>
    <row r="4" spans="1:19">
      <c r="B4" s="33" t="s">
        <v>839</v>
      </c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</row>
    <row r="5" spans="1:19" s="29" customFormat="1">
      <c r="B5" s="59"/>
      <c r="C5" s="59"/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</row>
    <row r="6" spans="1:19" s="11" customFormat="1" ht="51">
      <c r="B6" s="19" t="s">
        <v>807</v>
      </c>
      <c r="C6" s="20"/>
      <c r="D6" s="15" t="s">
        <v>755</v>
      </c>
      <c r="E6" s="16" t="s">
        <v>759</v>
      </c>
      <c r="F6" s="16" t="s">
        <v>758</v>
      </c>
      <c r="G6" s="16" t="s">
        <v>765</v>
      </c>
      <c r="H6" s="16" t="s">
        <v>752</v>
      </c>
      <c r="I6" s="16" t="s">
        <v>761</v>
      </c>
      <c r="J6" s="17" t="s">
        <v>763</v>
      </c>
    </row>
    <row r="7" spans="1:19" s="10" customFormat="1">
      <c r="B7" s="12" t="s">
        <v>806</v>
      </c>
      <c r="C7" s="9" t="s">
        <v>800</v>
      </c>
      <c r="D7" s="21">
        <f>SUM(H18,H19,H26)</f>
        <v>9.5999999999999992E-3</v>
      </c>
      <c r="E7" s="21">
        <f>SUM(H18,H20,H26)</f>
        <v>2.01E-2</v>
      </c>
      <c r="F7" s="21">
        <f>SUM(H18,H21,H26)</f>
        <v>2.41E-2</v>
      </c>
      <c r="G7" s="21">
        <f>SUM(H18,H22,H26)</f>
        <v>1.4799999999999999E-2</v>
      </c>
      <c r="H7" s="21">
        <f>SUM(H18,H23,H26)</f>
        <v>4.2599999999999999E-2</v>
      </c>
      <c r="I7" s="21">
        <f>SUM(H18,H24,H26)</f>
        <v>5.16E-2</v>
      </c>
      <c r="J7" s="22">
        <f>SUM(H18,H25,H26)</f>
        <v>2.81E-2</v>
      </c>
    </row>
    <row r="8" spans="1:19">
      <c r="B8" s="13"/>
      <c r="C8" s="18" t="s">
        <v>801</v>
      </c>
      <c r="D8" s="23">
        <f>SUM(H18,H19,H27)</f>
        <v>-6.4000000000000012E-3</v>
      </c>
      <c r="E8" s="23">
        <f>SUM(H18,H20,H27)</f>
        <v>4.0999999999999995E-3</v>
      </c>
      <c r="F8" s="23">
        <f>SUM(H18,H21,H27)</f>
        <v>8.0999999999999996E-3</v>
      </c>
      <c r="G8" s="23">
        <f>SUM(H18,H22,H27)</f>
        <v>-1.2000000000000014E-3</v>
      </c>
      <c r="H8" s="23">
        <f>SUM(H18,H23,H27)</f>
        <v>2.6599999999999999E-2</v>
      </c>
      <c r="I8" s="23">
        <f>SUM(H18,H24,H27)</f>
        <v>3.56E-2</v>
      </c>
      <c r="J8" s="24">
        <f>SUM(H18,H25,H27)</f>
        <v>1.21E-2</v>
      </c>
    </row>
    <row r="9" spans="1:19">
      <c r="B9" s="14"/>
      <c r="C9" s="8" t="s">
        <v>802</v>
      </c>
      <c r="D9" s="25">
        <f>SUM(H18,H19,H28)</f>
        <v>2.9899999999999996E-2</v>
      </c>
      <c r="E9" s="25">
        <f>SUM(H18,H20,H28)</f>
        <v>4.0399999999999998E-2</v>
      </c>
      <c r="F9" s="25">
        <f>SUM(H18,H21,H28)</f>
        <v>4.4399999999999995E-2</v>
      </c>
      <c r="G9" s="25">
        <f>SUM(H18,H22,H28)</f>
        <v>3.5099999999999999E-2</v>
      </c>
      <c r="H9" s="25">
        <f>SUM(H18,H23,H28)</f>
        <v>6.2899999999999998E-2</v>
      </c>
      <c r="I9" s="25">
        <f>SUM(H18,H24,H28)</f>
        <v>7.1899999999999992E-2</v>
      </c>
      <c r="J9" s="26">
        <f>SUM(H18,H25,H28)</f>
        <v>4.8399999999999999E-2</v>
      </c>
    </row>
    <row r="10" spans="1:19">
      <c r="B10" s="12" t="s">
        <v>805</v>
      </c>
      <c r="C10" s="9" t="s">
        <v>800</v>
      </c>
      <c r="D10" s="21">
        <f>SUM(D19,D26)</f>
        <v>2.5000000000000001E-2</v>
      </c>
      <c r="E10" s="21">
        <f>SUM(D20,D26)</f>
        <v>3.5999999999999997E-2</v>
      </c>
      <c r="F10" s="21">
        <f>SUM(D21,D26)</f>
        <v>3.5000000000000003E-2</v>
      </c>
      <c r="G10" s="21">
        <f>SUM(D22,D26)</f>
        <v>3.5999999999999997E-2</v>
      </c>
      <c r="H10" s="21">
        <f>SUM(D23,D26)</f>
        <v>6.0000000000000005E-2</v>
      </c>
      <c r="I10" s="21">
        <f>SUM(D24,D26)</f>
        <v>6.4000000000000001E-2</v>
      </c>
      <c r="J10" s="22">
        <f>SUM(D25:D26)</f>
        <v>4.4000000000000004E-2</v>
      </c>
    </row>
    <row r="11" spans="1:19">
      <c r="B11" s="13"/>
      <c r="C11" s="18" t="s">
        <v>801</v>
      </c>
      <c r="D11" s="23">
        <f>SUM(D19,D27)</f>
        <v>1.6E-2</v>
      </c>
      <c r="E11" s="23">
        <f>SUM(D20,D27)</f>
        <v>2.7E-2</v>
      </c>
      <c r="F11" s="23">
        <f>SUM(D21,D27)</f>
        <v>2.6000000000000002E-2</v>
      </c>
      <c r="G11" s="23">
        <f>SUM(D22,D27)</f>
        <v>2.7E-2</v>
      </c>
      <c r="H11" s="23">
        <f>SUM(D23,D27)</f>
        <v>5.1000000000000004E-2</v>
      </c>
      <c r="I11" s="23">
        <f>SUM(D24,D27)</f>
        <v>5.5E-2</v>
      </c>
      <c r="J11" s="24">
        <f>SUM(D25,D27)</f>
        <v>3.5000000000000003E-2</v>
      </c>
    </row>
    <row r="12" spans="1:19">
      <c r="B12" s="14"/>
      <c r="C12" s="8" t="s">
        <v>802</v>
      </c>
      <c r="D12" s="25">
        <f>SUM(D19,D28)</f>
        <v>5.1999999999999998E-2</v>
      </c>
      <c r="E12" s="25">
        <f>SUM(D20,D28)</f>
        <v>6.3E-2</v>
      </c>
      <c r="F12" s="25">
        <f>SUM(D21,D28)</f>
        <v>6.2E-2</v>
      </c>
      <c r="G12" s="25">
        <f>SUM(D22,D28)</f>
        <v>6.3E-2</v>
      </c>
      <c r="H12" s="25">
        <f>SUM(D23,D28)</f>
        <v>8.6999999999999994E-2</v>
      </c>
      <c r="I12" s="25">
        <f>SUM(D24,D28)</f>
        <v>9.0999999999999998E-2</v>
      </c>
      <c r="J12" s="26">
        <f>SUM(D25,D28)</f>
        <v>7.1000000000000008E-2</v>
      </c>
    </row>
    <row r="15" spans="1:19">
      <c r="B15" s="33" t="s">
        <v>840</v>
      </c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</row>
    <row r="17" spans="2:9">
      <c r="B17" s="67" t="s">
        <v>804</v>
      </c>
      <c r="C17" s="68"/>
      <c r="D17" s="69"/>
      <c r="F17" s="63" t="s">
        <v>803</v>
      </c>
      <c r="G17" s="63"/>
      <c r="H17" s="63"/>
    </row>
    <row r="18" spans="2:9">
      <c r="B18" s="61"/>
      <c r="F18" s="61" t="s">
        <v>841</v>
      </c>
      <c r="H18" s="64">
        <v>9.5999999999999992E-3</v>
      </c>
    </row>
    <row r="19" spans="2:9">
      <c r="B19" s="60" t="s">
        <v>755</v>
      </c>
      <c r="D19" s="64">
        <v>1.4999999999999999E-2</v>
      </c>
      <c r="F19" s="60" t="s">
        <v>755</v>
      </c>
      <c r="H19" s="64">
        <v>0</v>
      </c>
      <c r="I19" s="65" t="s">
        <v>842</v>
      </c>
    </row>
    <row r="20" spans="2:9">
      <c r="B20" s="60" t="s">
        <v>759</v>
      </c>
      <c r="D20" s="64">
        <v>2.5999999999999999E-2</v>
      </c>
      <c r="F20" s="60" t="s">
        <v>759</v>
      </c>
      <c r="H20" s="64">
        <v>1.0500000000000001E-2</v>
      </c>
    </row>
    <row r="21" spans="2:9">
      <c r="B21" s="60" t="s">
        <v>758</v>
      </c>
      <c r="D21" s="64">
        <v>2.5000000000000001E-2</v>
      </c>
      <c r="F21" s="60" t="s">
        <v>758</v>
      </c>
      <c r="H21" s="64">
        <v>1.4500000000000001E-2</v>
      </c>
    </row>
    <row r="22" spans="2:9">
      <c r="B22" s="60" t="s">
        <v>765</v>
      </c>
      <c r="D22" s="64">
        <v>2.5999999999999999E-2</v>
      </c>
      <c r="F22" s="60" t="s">
        <v>765</v>
      </c>
      <c r="H22" s="64">
        <v>5.1999999999999998E-3</v>
      </c>
    </row>
    <row r="23" spans="2:9">
      <c r="B23" s="60" t="s">
        <v>752</v>
      </c>
      <c r="D23" s="64">
        <v>0.05</v>
      </c>
      <c r="F23" s="60" t="s">
        <v>752</v>
      </c>
      <c r="H23" s="64">
        <v>3.3000000000000002E-2</v>
      </c>
    </row>
    <row r="24" spans="2:9">
      <c r="B24" s="60" t="s">
        <v>761</v>
      </c>
      <c r="D24" s="64">
        <v>5.3999999999999999E-2</v>
      </c>
      <c r="F24" s="60" t="s">
        <v>761</v>
      </c>
      <c r="H24" s="64">
        <v>4.2000000000000003E-2</v>
      </c>
    </row>
    <row r="25" spans="2:9">
      <c r="B25" s="60" t="s">
        <v>763</v>
      </c>
      <c r="D25" s="64">
        <v>3.4000000000000002E-2</v>
      </c>
      <c r="F25" s="60" t="s">
        <v>763</v>
      </c>
      <c r="H25" s="64">
        <v>1.8499999999999999E-2</v>
      </c>
    </row>
    <row r="26" spans="2:9">
      <c r="B26" s="62" t="s">
        <v>800</v>
      </c>
      <c r="D26" s="64">
        <v>0.01</v>
      </c>
      <c r="F26" s="62" t="s">
        <v>800</v>
      </c>
      <c r="H26" s="64">
        <v>0</v>
      </c>
      <c r="I26" s="66" t="s">
        <v>842</v>
      </c>
    </row>
    <row r="27" spans="2:9">
      <c r="B27" s="62" t="s">
        <v>801</v>
      </c>
      <c r="D27" s="64">
        <v>1E-3</v>
      </c>
      <c r="F27" s="62" t="s">
        <v>801</v>
      </c>
      <c r="H27" s="64">
        <v>-1.6E-2</v>
      </c>
    </row>
    <row r="28" spans="2:9">
      <c r="B28" s="62" t="s">
        <v>802</v>
      </c>
      <c r="D28" s="64">
        <v>3.6999999999999998E-2</v>
      </c>
      <c r="F28" s="62" t="s">
        <v>802</v>
      </c>
      <c r="H28" s="64">
        <v>2.0299999999999999E-2</v>
      </c>
    </row>
  </sheetData>
  <mergeCells count="5">
    <mergeCell ref="F17:H17"/>
    <mergeCell ref="B17:D17"/>
    <mergeCell ref="B7:B9"/>
    <mergeCell ref="B10:B12"/>
    <mergeCell ref="B6:C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29485-7FF7-3045-9B3F-4AF6BDD77943}">
  <sheetPr>
    <tabColor theme="9" tint="0.79998168889431442"/>
  </sheetPr>
  <dimension ref="A2:S5"/>
  <sheetViews>
    <sheetView workbookViewId="0">
      <selection activeCell="A2" sqref="A2:XFD2"/>
    </sheetView>
  </sheetViews>
  <sheetFormatPr baseColWidth="10" defaultRowHeight="16"/>
  <cols>
    <col min="2" max="2" width="14.83203125" bestFit="1" customWidth="1"/>
  </cols>
  <sheetData>
    <row r="2" spans="1:19" s="32" customFormat="1">
      <c r="A2" s="30"/>
      <c r="B2" s="31" t="str" cm="1">
        <f t="array" aca="1" ref="B2" ca="1">MID(CELL("filename", A1), FIND("]", CELL("filename", A1)) + 1, 255)</f>
        <v>Debt Share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</row>
    <row r="5" spans="1:19">
      <c r="B5" t="s">
        <v>827</v>
      </c>
      <c r="C5" s="27">
        <v>0.7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9B249-D83F-9D4B-8601-D3B13BF12F0F}">
  <sheetPr>
    <tabColor theme="9" tint="0.79998168889431442"/>
  </sheetPr>
  <dimension ref="A2:S229"/>
  <sheetViews>
    <sheetView zoomScaleNormal="100" workbookViewId="0">
      <selection activeCell="A2" sqref="A2:XFD2"/>
    </sheetView>
  </sheetViews>
  <sheetFormatPr baseColWidth="10" defaultColWidth="11.5" defaultRowHeight="15"/>
  <cols>
    <col min="1" max="1" width="2.83203125" style="4" customWidth="1"/>
    <col min="2" max="2" width="45.1640625" style="4" customWidth="1"/>
    <col min="3" max="3" width="7.6640625" style="4" bestFit="1" customWidth="1"/>
    <col min="4" max="4" width="23.5" style="4" bestFit="1" customWidth="1"/>
    <col min="5" max="5" width="19.5" style="4" bestFit="1" customWidth="1"/>
    <col min="6" max="6" width="17.6640625" style="4" bestFit="1" customWidth="1"/>
    <col min="7" max="16384" width="11.5" style="4"/>
  </cols>
  <sheetData>
    <row r="2" spans="1:19" s="32" customFormat="1" ht="16">
      <c r="A2" s="30"/>
      <c r="B2" s="31" t="str" cm="1">
        <f t="array" aca="1" ref="B2" ca="1">MID(CELL("filename", A1), FIND("]", CELL("filename", A1)) + 1, 255)</f>
        <v>World Regions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</row>
    <row r="5" spans="1:19" s="3" customFormat="1">
      <c r="B5" s="3" t="s">
        <v>747</v>
      </c>
      <c r="C5" s="3" t="s">
        <v>748</v>
      </c>
      <c r="D5" s="3" t="s">
        <v>749</v>
      </c>
      <c r="E5" s="3" t="s">
        <v>750</v>
      </c>
      <c r="F5" s="3" t="s">
        <v>751</v>
      </c>
    </row>
    <row r="6" spans="1:19">
      <c r="B6" s="4" t="s">
        <v>12</v>
      </c>
      <c r="C6" s="4" t="s">
        <v>10</v>
      </c>
      <c r="D6" s="4" t="s">
        <v>752</v>
      </c>
      <c r="E6" s="4" t="s">
        <v>753</v>
      </c>
      <c r="F6" s="4" t="s">
        <v>754</v>
      </c>
    </row>
    <row r="7" spans="1:19">
      <c r="B7" s="4" t="s">
        <v>25</v>
      </c>
      <c r="C7" s="4" t="s">
        <v>24</v>
      </c>
      <c r="D7" s="4" t="s">
        <v>755</v>
      </c>
      <c r="E7" s="4" t="s">
        <v>756</v>
      </c>
      <c r="F7" s="4" t="s">
        <v>757</v>
      </c>
    </row>
    <row r="8" spans="1:19">
      <c r="B8" s="4" t="s">
        <v>201</v>
      </c>
      <c r="C8" s="4" t="s">
        <v>200</v>
      </c>
      <c r="D8" s="4" t="s">
        <v>758</v>
      </c>
      <c r="E8" s="4" t="s">
        <v>756</v>
      </c>
      <c r="F8" s="4" t="s">
        <v>757</v>
      </c>
    </row>
    <row r="9" spans="1:19">
      <c r="B9" s="4" t="s">
        <v>44</v>
      </c>
      <c r="C9" s="4" t="s">
        <v>42</v>
      </c>
      <c r="D9" s="4" t="s">
        <v>759</v>
      </c>
      <c r="E9" s="4" t="s">
        <v>760</v>
      </c>
    </row>
    <row r="10" spans="1:19">
      <c r="B10" s="4" t="s">
        <v>783</v>
      </c>
      <c r="C10" s="4" t="s">
        <v>27</v>
      </c>
      <c r="D10" s="4" t="s">
        <v>755</v>
      </c>
      <c r="E10" s="4" t="s">
        <v>760</v>
      </c>
    </row>
    <row r="11" spans="1:19">
      <c r="B11" s="4" t="s">
        <v>15</v>
      </c>
      <c r="C11" s="4" t="s">
        <v>14</v>
      </c>
      <c r="D11" s="4" t="s">
        <v>761</v>
      </c>
      <c r="E11" s="4" t="s">
        <v>762</v>
      </c>
      <c r="F11" s="4" t="s">
        <v>757</v>
      </c>
    </row>
    <row r="12" spans="1:19">
      <c r="B12" s="4" t="s">
        <v>53</v>
      </c>
      <c r="C12" s="4" t="s">
        <v>52</v>
      </c>
      <c r="D12" s="4" t="s">
        <v>763</v>
      </c>
      <c r="E12" s="4" t="s">
        <v>760</v>
      </c>
      <c r="F12" s="4" t="s">
        <v>757</v>
      </c>
    </row>
    <row r="13" spans="1:19">
      <c r="B13" s="4" t="s">
        <v>38</v>
      </c>
      <c r="C13" s="4" t="s">
        <v>36</v>
      </c>
      <c r="D13" s="4" t="s">
        <v>763</v>
      </c>
      <c r="E13" s="4" t="s">
        <v>756</v>
      </c>
      <c r="F13" s="4" t="s">
        <v>757</v>
      </c>
    </row>
    <row r="14" spans="1:19">
      <c r="B14" s="4" t="s">
        <v>41</v>
      </c>
      <c r="C14" s="4" t="s">
        <v>40</v>
      </c>
      <c r="D14" s="4" t="s">
        <v>755</v>
      </c>
      <c r="E14" s="4" t="s">
        <v>756</v>
      </c>
      <c r="F14" s="4" t="s">
        <v>757</v>
      </c>
    </row>
    <row r="15" spans="1:19">
      <c r="B15" s="4" t="s">
        <v>7</v>
      </c>
      <c r="C15" s="4" t="s">
        <v>5</v>
      </c>
      <c r="D15" s="4" t="s">
        <v>763</v>
      </c>
      <c r="E15" s="4" t="s">
        <v>760</v>
      </c>
    </row>
    <row r="16" spans="1:19">
      <c r="B16" s="4" t="s">
        <v>56</v>
      </c>
      <c r="C16" s="4" t="s">
        <v>55</v>
      </c>
      <c r="D16" s="4" t="s">
        <v>759</v>
      </c>
      <c r="E16" s="4" t="s">
        <v>760</v>
      </c>
    </row>
    <row r="17" spans="2:6">
      <c r="B17" s="4" t="s">
        <v>59</v>
      </c>
      <c r="C17" s="4" t="s">
        <v>58</v>
      </c>
      <c r="D17" s="4" t="s">
        <v>755</v>
      </c>
      <c r="E17" s="4" t="s">
        <v>760</v>
      </c>
    </row>
    <row r="18" spans="2:6">
      <c r="B18" s="4" t="s">
        <v>62</v>
      </c>
      <c r="C18" s="4" t="s">
        <v>61</v>
      </c>
      <c r="D18" s="4" t="s">
        <v>755</v>
      </c>
      <c r="E18" s="4" t="s">
        <v>756</v>
      </c>
      <c r="F18" s="4" t="s">
        <v>757</v>
      </c>
    </row>
    <row r="19" spans="2:6">
      <c r="B19" s="4" t="s">
        <v>89</v>
      </c>
      <c r="C19" s="4" t="s">
        <v>88</v>
      </c>
      <c r="D19" s="4" t="s">
        <v>763</v>
      </c>
      <c r="E19" s="4" t="s">
        <v>760</v>
      </c>
    </row>
    <row r="20" spans="2:6">
      <c r="B20" s="4" t="s">
        <v>86</v>
      </c>
      <c r="C20" s="4" t="s">
        <v>85</v>
      </c>
      <c r="D20" s="4" t="s">
        <v>758</v>
      </c>
      <c r="E20" s="4" t="s">
        <v>760</v>
      </c>
    </row>
    <row r="21" spans="2:6">
      <c r="B21" s="4" t="s">
        <v>80</v>
      </c>
      <c r="C21" s="4" t="s">
        <v>79</v>
      </c>
      <c r="D21" s="4" t="s">
        <v>752</v>
      </c>
      <c r="E21" s="4" t="s">
        <v>762</v>
      </c>
      <c r="F21" s="4" t="s">
        <v>754</v>
      </c>
    </row>
    <row r="22" spans="2:6">
      <c r="B22" s="4" t="s">
        <v>112</v>
      </c>
      <c r="C22" s="4" t="s">
        <v>111</v>
      </c>
      <c r="D22" s="4" t="s">
        <v>763</v>
      </c>
      <c r="E22" s="4" t="s">
        <v>760</v>
      </c>
      <c r="F22" s="4" t="s">
        <v>757</v>
      </c>
    </row>
    <row r="23" spans="2:6">
      <c r="B23" s="4" t="s">
        <v>98</v>
      </c>
      <c r="C23" s="4" t="s">
        <v>97</v>
      </c>
      <c r="D23" s="4" t="s">
        <v>755</v>
      </c>
      <c r="E23" s="4" t="s">
        <v>756</v>
      </c>
      <c r="F23" s="4" t="s">
        <v>757</v>
      </c>
    </row>
    <row r="24" spans="2:6">
      <c r="B24" s="4" t="s">
        <v>68</v>
      </c>
      <c r="C24" s="4" t="s">
        <v>67</v>
      </c>
      <c r="D24" s="4" t="s">
        <v>755</v>
      </c>
      <c r="E24" s="4" t="s">
        <v>760</v>
      </c>
    </row>
    <row r="25" spans="2:6">
      <c r="B25" s="4" t="s">
        <v>101</v>
      </c>
      <c r="C25" s="4" t="s">
        <v>100</v>
      </c>
      <c r="D25" s="4" t="s">
        <v>763</v>
      </c>
      <c r="E25" s="4" t="s">
        <v>756</v>
      </c>
      <c r="F25" s="4" t="s">
        <v>764</v>
      </c>
    </row>
    <row r="26" spans="2:6">
      <c r="B26" s="4" t="s">
        <v>71</v>
      </c>
      <c r="C26" s="4" t="s">
        <v>70</v>
      </c>
      <c r="D26" s="4" t="s">
        <v>761</v>
      </c>
      <c r="E26" s="4" t="s">
        <v>762</v>
      </c>
      <c r="F26" s="4" t="s">
        <v>754</v>
      </c>
    </row>
    <row r="27" spans="2:6">
      <c r="B27" s="4" t="s">
        <v>104</v>
      </c>
      <c r="C27" s="4" t="s">
        <v>103</v>
      </c>
      <c r="D27" s="4" t="s">
        <v>765</v>
      </c>
      <c r="E27" s="4" t="s">
        <v>760</v>
      </c>
    </row>
    <row r="28" spans="2:6">
      <c r="B28" s="4" t="s">
        <v>118</v>
      </c>
      <c r="C28" s="4" t="s">
        <v>117</v>
      </c>
      <c r="D28" s="4" t="s">
        <v>752</v>
      </c>
      <c r="E28" s="4" t="s">
        <v>762</v>
      </c>
      <c r="F28" s="4" t="s">
        <v>754</v>
      </c>
    </row>
    <row r="29" spans="2:6">
      <c r="B29" s="4" t="s">
        <v>766</v>
      </c>
      <c r="C29" s="4" t="s">
        <v>106</v>
      </c>
      <c r="D29" s="4" t="s">
        <v>763</v>
      </c>
      <c r="E29" s="4" t="s">
        <v>762</v>
      </c>
      <c r="F29" s="4" t="s">
        <v>757</v>
      </c>
    </row>
    <row r="30" spans="2:6">
      <c r="B30" s="4" t="s">
        <v>92</v>
      </c>
      <c r="C30" s="4" t="s">
        <v>91</v>
      </c>
      <c r="D30" s="4" t="s">
        <v>755</v>
      </c>
      <c r="E30" s="4" t="s">
        <v>756</v>
      </c>
      <c r="F30" s="4" t="s">
        <v>757</v>
      </c>
    </row>
    <row r="31" spans="2:6">
      <c r="B31" s="4" t="s">
        <v>124</v>
      </c>
      <c r="C31" s="4" t="s">
        <v>123</v>
      </c>
      <c r="D31" s="4" t="s">
        <v>761</v>
      </c>
      <c r="E31" s="4" t="s">
        <v>756</v>
      </c>
      <c r="F31" s="4" t="s">
        <v>757</v>
      </c>
    </row>
    <row r="32" spans="2:6">
      <c r="B32" s="4" t="s">
        <v>109</v>
      </c>
      <c r="C32" s="4" t="s">
        <v>108</v>
      </c>
      <c r="D32" s="4" t="s">
        <v>763</v>
      </c>
      <c r="E32" s="4" t="s">
        <v>756</v>
      </c>
      <c r="F32" s="4" t="s">
        <v>757</v>
      </c>
    </row>
    <row r="33" spans="2:6">
      <c r="B33" s="4" t="s">
        <v>711</v>
      </c>
      <c r="C33" s="4" t="s">
        <v>710</v>
      </c>
      <c r="D33" s="4" t="s">
        <v>763</v>
      </c>
      <c r="E33" s="4" t="s">
        <v>760</v>
      </c>
    </row>
    <row r="34" spans="2:6">
      <c r="B34" s="4" t="s">
        <v>115</v>
      </c>
      <c r="C34" s="4" t="s">
        <v>114</v>
      </c>
      <c r="D34" s="4" t="s">
        <v>759</v>
      </c>
      <c r="E34" s="4" t="s">
        <v>760</v>
      </c>
    </row>
    <row r="35" spans="2:6">
      <c r="B35" s="4" t="s">
        <v>83</v>
      </c>
      <c r="C35" s="4" t="s">
        <v>82</v>
      </c>
      <c r="D35" s="4" t="s">
        <v>755</v>
      </c>
      <c r="E35" s="4" t="s">
        <v>760</v>
      </c>
      <c r="F35" s="4" t="s">
        <v>757</v>
      </c>
    </row>
    <row r="36" spans="2:6">
      <c r="B36" s="4" t="s">
        <v>77</v>
      </c>
      <c r="C36" s="4" t="s">
        <v>76</v>
      </c>
      <c r="D36" s="4" t="s">
        <v>761</v>
      </c>
      <c r="E36" s="4" t="s">
        <v>753</v>
      </c>
      <c r="F36" s="4" t="s">
        <v>754</v>
      </c>
    </row>
    <row r="37" spans="2:6">
      <c r="B37" s="4" t="s">
        <v>65</v>
      </c>
      <c r="C37" s="4" t="s">
        <v>64</v>
      </c>
      <c r="D37" s="4" t="s">
        <v>761</v>
      </c>
      <c r="E37" s="4" t="s">
        <v>753</v>
      </c>
      <c r="F37" s="4" t="s">
        <v>754</v>
      </c>
    </row>
    <row r="38" spans="2:6">
      <c r="B38" s="4" t="s">
        <v>784</v>
      </c>
      <c r="C38" s="4" t="s">
        <v>162</v>
      </c>
      <c r="D38" s="4" t="s">
        <v>761</v>
      </c>
      <c r="E38" s="4" t="s">
        <v>762</v>
      </c>
      <c r="F38" s="4" t="s">
        <v>764</v>
      </c>
    </row>
    <row r="39" spans="2:6">
      <c r="B39" s="4" t="s">
        <v>363</v>
      </c>
      <c r="C39" s="4" t="s">
        <v>362</v>
      </c>
      <c r="D39" s="4" t="s">
        <v>759</v>
      </c>
      <c r="E39" s="4" t="s">
        <v>762</v>
      </c>
      <c r="F39" s="4" t="s">
        <v>754</v>
      </c>
    </row>
    <row r="40" spans="2:6">
      <c r="B40" s="4" t="s">
        <v>147</v>
      </c>
      <c r="C40" s="4" t="s">
        <v>146</v>
      </c>
      <c r="D40" s="4" t="s">
        <v>761</v>
      </c>
      <c r="E40" s="4" t="s">
        <v>762</v>
      </c>
      <c r="F40" s="4" t="s">
        <v>764</v>
      </c>
    </row>
    <row r="41" spans="2:6">
      <c r="B41" s="4" t="s">
        <v>130</v>
      </c>
      <c r="C41" s="4" t="s">
        <v>129</v>
      </c>
      <c r="D41" s="4" t="s">
        <v>765</v>
      </c>
      <c r="E41" s="4" t="s">
        <v>760</v>
      </c>
    </row>
    <row r="42" spans="2:6">
      <c r="B42" s="4" t="s">
        <v>177</v>
      </c>
      <c r="C42" s="4" t="s">
        <v>176</v>
      </c>
      <c r="D42" s="4" t="s">
        <v>763</v>
      </c>
      <c r="E42" s="4" t="s">
        <v>760</v>
      </c>
    </row>
    <row r="43" spans="2:6">
      <c r="B43" s="4" t="s">
        <v>127</v>
      </c>
      <c r="C43" s="4" t="s">
        <v>126</v>
      </c>
      <c r="D43" s="4" t="s">
        <v>761</v>
      </c>
      <c r="E43" s="4" t="s">
        <v>753</v>
      </c>
      <c r="F43" s="4" t="s">
        <v>754</v>
      </c>
    </row>
    <row r="44" spans="2:6">
      <c r="B44" s="4" t="s">
        <v>645</v>
      </c>
      <c r="C44" s="4" t="s">
        <v>644</v>
      </c>
      <c r="D44" s="4" t="s">
        <v>761</v>
      </c>
      <c r="E44" s="4" t="s">
        <v>753</v>
      </c>
      <c r="F44" s="4" t="s">
        <v>754</v>
      </c>
    </row>
    <row r="45" spans="2:6">
      <c r="B45" s="4" t="s">
        <v>789</v>
      </c>
      <c r="C45" s="4" t="s">
        <v>767</v>
      </c>
      <c r="D45" s="4" t="s">
        <v>755</v>
      </c>
      <c r="E45" s="4" t="s">
        <v>760</v>
      </c>
    </row>
    <row r="46" spans="2:6">
      <c r="B46" s="4" t="s">
        <v>787</v>
      </c>
      <c r="C46" s="4" t="s">
        <v>767</v>
      </c>
      <c r="D46" s="4" t="s">
        <v>755</v>
      </c>
      <c r="E46" s="4" t="s">
        <v>760</v>
      </c>
    </row>
    <row r="47" spans="2:6">
      <c r="B47" s="4" t="s">
        <v>139</v>
      </c>
      <c r="C47" s="4" t="s">
        <v>138</v>
      </c>
      <c r="D47" s="4" t="s">
        <v>763</v>
      </c>
      <c r="E47" s="4" t="s">
        <v>760</v>
      </c>
      <c r="F47" s="4" t="s">
        <v>757</v>
      </c>
    </row>
    <row r="48" spans="2:6">
      <c r="B48" s="4" t="s">
        <v>142</v>
      </c>
      <c r="C48" s="4" t="s">
        <v>141</v>
      </c>
      <c r="D48" s="4" t="s">
        <v>759</v>
      </c>
      <c r="E48" s="4" t="s">
        <v>756</v>
      </c>
      <c r="F48" s="4" t="s">
        <v>757</v>
      </c>
    </row>
    <row r="49" spans="2:6">
      <c r="B49" s="4" t="s">
        <v>157</v>
      </c>
      <c r="C49" s="4" t="s">
        <v>156</v>
      </c>
      <c r="D49" s="4" t="s">
        <v>763</v>
      </c>
      <c r="E49" s="4" t="s">
        <v>756</v>
      </c>
      <c r="F49" s="4" t="s">
        <v>757</v>
      </c>
    </row>
    <row r="50" spans="2:6">
      <c r="B50" s="4" t="s">
        <v>160</v>
      </c>
      <c r="C50" s="4" t="s">
        <v>159</v>
      </c>
      <c r="D50" s="4" t="s">
        <v>761</v>
      </c>
      <c r="E50" s="4" t="s">
        <v>762</v>
      </c>
      <c r="F50" s="4" t="s">
        <v>754</v>
      </c>
    </row>
    <row r="51" spans="2:6">
      <c r="B51" s="4" t="s">
        <v>785</v>
      </c>
      <c r="C51" s="4" t="s">
        <v>149</v>
      </c>
      <c r="D51" s="4" t="s">
        <v>761</v>
      </c>
      <c r="E51" s="4" t="s">
        <v>753</v>
      </c>
      <c r="F51" s="4" t="s">
        <v>754</v>
      </c>
    </row>
    <row r="52" spans="2:6">
      <c r="B52" s="4" t="s">
        <v>786</v>
      </c>
      <c r="C52" s="4" t="s">
        <v>151</v>
      </c>
      <c r="D52" s="4" t="s">
        <v>761</v>
      </c>
      <c r="E52" s="4" t="s">
        <v>762</v>
      </c>
      <c r="F52" s="4" t="s">
        <v>764</v>
      </c>
    </row>
    <row r="53" spans="2:6">
      <c r="B53" s="4" t="s">
        <v>165</v>
      </c>
      <c r="C53" s="4" t="s">
        <v>164</v>
      </c>
      <c r="D53" s="4" t="s">
        <v>763</v>
      </c>
      <c r="E53" s="4" t="s">
        <v>756</v>
      </c>
      <c r="F53" s="4" t="s">
        <v>757</v>
      </c>
    </row>
    <row r="54" spans="2:6">
      <c r="B54" s="4" t="s">
        <v>813</v>
      </c>
      <c r="C54" s="4" t="s">
        <v>144</v>
      </c>
      <c r="D54" s="4" t="s">
        <v>761</v>
      </c>
      <c r="E54" s="4" t="s">
        <v>762</v>
      </c>
      <c r="F54" s="4" t="s">
        <v>754</v>
      </c>
    </row>
    <row r="55" spans="2:6">
      <c r="B55" s="4" t="s">
        <v>304</v>
      </c>
      <c r="C55" s="4" t="s">
        <v>303</v>
      </c>
      <c r="D55" s="4" t="s">
        <v>755</v>
      </c>
      <c r="E55" s="4" t="s">
        <v>760</v>
      </c>
      <c r="F55" s="4" t="s">
        <v>757</v>
      </c>
    </row>
    <row r="56" spans="2:6">
      <c r="B56" s="4" t="s">
        <v>168</v>
      </c>
      <c r="C56" s="4" t="s">
        <v>167</v>
      </c>
      <c r="D56" s="4" t="s">
        <v>763</v>
      </c>
      <c r="E56" s="4" t="s">
        <v>756</v>
      </c>
    </row>
    <row r="57" spans="2:6">
      <c r="B57" s="4" t="s">
        <v>171</v>
      </c>
      <c r="C57" s="4" t="s">
        <v>170</v>
      </c>
      <c r="D57" s="4" t="s">
        <v>763</v>
      </c>
      <c r="E57" s="4" t="s">
        <v>760</v>
      </c>
    </row>
    <row r="58" spans="2:6">
      <c r="B58" s="4" t="s">
        <v>180</v>
      </c>
      <c r="C58" s="4" t="s">
        <v>179</v>
      </c>
      <c r="D58" s="4" t="s">
        <v>755</v>
      </c>
      <c r="E58" s="4" t="s">
        <v>760</v>
      </c>
    </row>
    <row r="59" spans="2:6">
      <c r="B59" s="4" t="s">
        <v>183</v>
      </c>
      <c r="C59" s="4" t="s">
        <v>182</v>
      </c>
      <c r="D59" s="4" t="s">
        <v>755</v>
      </c>
      <c r="E59" s="4" t="s">
        <v>760</v>
      </c>
    </row>
    <row r="60" spans="2:6">
      <c r="B60" s="4" t="s">
        <v>195</v>
      </c>
      <c r="C60" s="4" t="s">
        <v>194</v>
      </c>
      <c r="D60" s="4" t="s">
        <v>755</v>
      </c>
      <c r="E60" s="4" t="s">
        <v>760</v>
      </c>
    </row>
    <row r="61" spans="2:6">
      <c r="B61" s="4" t="s">
        <v>189</v>
      </c>
      <c r="C61" s="4" t="s">
        <v>188</v>
      </c>
      <c r="D61" s="4" t="s">
        <v>758</v>
      </c>
      <c r="E61" s="4" t="s">
        <v>762</v>
      </c>
      <c r="F61" s="4" t="s">
        <v>754</v>
      </c>
    </row>
    <row r="62" spans="2:6">
      <c r="B62" s="4" t="s">
        <v>192</v>
      </c>
      <c r="C62" s="4" t="s">
        <v>191</v>
      </c>
      <c r="D62" s="4" t="s">
        <v>763</v>
      </c>
      <c r="E62" s="4" t="s">
        <v>756</v>
      </c>
      <c r="F62" s="4" t="s">
        <v>764</v>
      </c>
    </row>
    <row r="63" spans="2:6">
      <c r="B63" s="4" t="s">
        <v>198</v>
      </c>
      <c r="C63" s="4" t="s">
        <v>197</v>
      </c>
      <c r="D63" s="4" t="s">
        <v>763</v>
      </c>
      <c r="E63" s="4" t="s">
        <v>756</v>
      </c>
      <c r="F63" s="4" t="s">
        <v>757</v>
      </c>
    </row>
    <row r="64" spans="2:6">
      <c r="B64" s="4" t="s">
        <v>204</v>
      </c>
      <c r="C64" s="4" t="s">
        <v>203</v>
      </c>
      <c r="D64" s="4" t="s">
        <v>763</v>
      </c>
      <c r="E64" s="4" t="s">
        <v>756</v>
      </c>
      <c r="F64" s="4" t="s">
        <v>757</v>
      </c>
    </row>
    <row r="65" spans="2:6">
      <c r="B65" s="5" t="s">
        <v>207</v>
      </c>
      <c r="C65" s="4" t="s">
        <v>206</v>
      </c>
      <c r="D65" s="4" t="s">
        <v>758</v>
      </c>
      <c r="E65" s="4" t="s">
        <v>762</v>
      </c>
      <c r="F65" s="4" t="s">
        <v>757</v>
      </c>
    </row>
    <row r="66" spans="2:6">
      <c r="B66" s="4" t="s">
        <v>598</v>
      </c>
      <c r="C66" s="4" t="s">
        <v>597</v>
      </c>
      <c r="D66" s="4" t="s">
        <v>763</v>
      </c>
      <c r="E66" s="4" t="s">
        <v>756</v>
      </c>
      <c r="F66" s="4" t="s">
        <v>757</v>
      </c>
    </row>
    <row r="67" spans="2:6">
      <c r="B67" s="4" t="s">
        <v>272</v>
      </c>
      <c r="C67" s="4" t="s">
        <v>271</v>
      </c>
      <c r="D67" s="4" t="s">
        <v>761</v>
      </c>
      <c r="E67" s="4" t="s">
        <v>756</v>
      </c>
      <c r="F67" s="4" t="s">
        <v>757</v>
      </c>
    </row>
    <row r="68" spans="2:6">
      <c r="B68" s="4" t="s">
        <v>210</v>
      </c>
      <c r="C68" s="4" t="s">
        <v>209</v>
      </c>
      <c r="D68" s="4" t="s">
        <v>761</v>
      </c>
      <c r="E68" s="4" t="s">
        <v>753</v>
      </c>
      <c r="F68" s="4" t="s">
        <v>754</v>
      </c>
    </row>
    <row r="69" spans="2:6">
      <c r="B69" s="4" t="s">
        <v>219</v>
      </c>
      <c r="C69" s="4" t="s">
        <v>218</v>
      </c>
      <c r="D69" s="4" t="s">
        <v>755</v>
      </c>
      <c r="E69" s="4" t="s">
        <v>760</v>
      </c>
    </row>
    <row r="70" spans="2:6">
      <c r="B70" s="4" t="s">
        <v>631</v>
      </c>
      <c r="C70" s="4" t="s">
        <v>630</v>
      </c>
      <c r="D70" s="4" t="s">
        <v>761</v>
      </c>
      <c r="E70" s="4" t="s">
        <v>762</v>
      </c>
      <c r="F70" s="4" t="s">
        <v>764</v>
      </c>
    </row>
    <row r="71" spans="2:6">
      <c r="B71" s="4" t="s">
        <v>222</v>
      </c>
      <c r="C71" s="4" t="s">
        <v>221</v>
      </c>
      <c r="D71" s="4" t="s">
        <v>761</v>
      </c>
      <c r="E71" s="4" t="s">
        <v>753</v>
      </c>
      <c r="F71" s="4" t="s">
        <v>754</v>
      </c>
    </row>
    <row r="72" spans="2:6">
      <c r="B72" s="4" t="s">
        <v>237</v>
      </c>
      <c r="C72" s="4" t="s">
        <v>236</v>
      </c>
      <c r="D72" s="4" t="s">
        <v>755</v>
      </c>
      <c r="E72" s="4" t="s">
        <v>760</v>
      </c>
    </row>
    <row r="73" spans="2:6">
      <c r="B73" s="4" t="s">
        <v>228</v>
      </c>
      <c r="C73" s="4" t="s">
        <v>227</v>
      </c>
      <c r="D73" s="4" t="s">
        <v>759</v>
      </c>
      <c r="E73" s="4" t="s">
        <v>756</v>
      </c>
      <c r="F73" s="4" t="s">
        <v>764</v>
      </c>
    </row>
    <row r="74" spans="2:6">
      <c r="B74" s="4" t="s">
        <v>225</v>
      </c>
      <c r="C74" s="4" t="s">
        <v>224</v>
      </c>
      <c r="D74" s="4" t="s">
        <v>755</v>
      </c>
      <c r="E74" s="4" t="s">
        <v>760</v>
      </c>
    </row>
    <row r="75" spans="2:6">
      <c r="B75" s="4" t="s">
        <v>234</v>
      </c>
      <c r="C75" s="4" t="s">
        <v>233</v>
      </c>
      <c r="D75" s="4" t="s">
        <v>755</v>
      </c>
      <c r="E75" s="4" t="s">
        <v>760</v>
      </c>
    </row>
    <row r="76" spans="2:6">
      <c r="B76" s="4" t="s">
        <v>555</v>
      </c>
      <c r="C76" s="4" t="s">
        <v>554</v>
      </c>
      <c r="D76" s="4" t="s">
        <v>759</v>
      </c>
      <c r="E76" s="4" t="s">
        <v>760</v>
      </c>
    </row>
    <row r="77" spans="2:6">
      <c r="B77" s="4" t="s">
        <v>243</v>
      </c>
      <c r="C77" s="4" t="s">
        <v>242</v>
      </c>
      <c r="D77" s="4" t="s">
        <v>761</v>
      </c>
      <c r="E77" s="4" t="s">
        <v>756</v>
      </c>
      <c r="F77" s="4" t="s">
        <v>757</v>
      </c>
    </row>
    <row r="78" spans="2:6">
      <c r="B78" s="4" t="s">
        <v>768</v>
      </c>
      <c r="C78" s="4" t="s">
        <v>265</v>
      </c>
      <c r="D78" s="4" t="s">
        <v>761</v>
      </c>
      <c r="E78" s="4" t="s">
        <v>753</v>
      </c>
      <c r="F78" s="4" t="s">
        <v>754</v>
      </c>
    </row>
    <row r="79" spans="2:6">
      <c r="B79" s="4" t="s">
        <v>249</v>
      </c>
      <c r="C79" s="4" t="s">
        <v>248</v>
      </c>
      <c r="D79" s="4" t="s">
        <v>755</v>
      </c>
      <c r="E79" s="4" t="s">
        <v>756</v>
      </c>
      <c r="F79" s="4" t="s">
        <v>757</v>
      </c>
    </row>
    <row r="80" spans="2:6">
      <c r="B80" s="4" t="s">
        <v>186</v>
      </c>
      <c r="C80" s="4" t="s">
        <v>185</v>
      </c>
      <c r="D80" s="4" t="s">
        <v>755</v>
      </c>
      <c r="E80" s="4" t="s">
        <v>760</v>
      </c>
    </row>
    <row r="81" spans="2:6">
      <c r="B81" s="4" t="s">
        <v>254</v>
      </c>
      <c r="C81" s="4" t="s">
        <v>253</v>
      </c>
      <c r="D81" s="4" t="s">
        <v>761</v>
      </c>
      <c r="E81" s="4" t="s">
        <v>762</v>
      </c>
      <c r="F81" s="4" t="s">
        <v>754</v>
      </c>
    </row>
    <row r="82" spans="2:6">
      <c r="B82" s="4" t="s">
        <v>257</v>
      </c>
      <c r="C82" s="4" t="s">
        <v>256</v>
      </c>
      <c r="D82" s="4" t="s">
        <v>755</v>
      </c>
      <c r="E82" s="4" t="s">
        <v>760</v>
      </c>
    </row>
    <row r="83" spans="2:6">
      <c r="B83" s="4" t="s">
        <v>275</v>
      </c>
      <c r="C83" s="4" t="s">
        <v>274</v>
      </c>
      <c r="D83" s="4" t="s">
        <v>755</v>
      </c>
      <c r="E83" s="4" t="s">
        <v>760</v>
      </c>
    </row>
    <row r="84" spans="2:6">
      <c r="B84" s="4" t="s">
        <v>281</v>
      </c>
      <c r="C84" s="4" t="s">
        <v>280</v>
      </c>
      <c r="D84" s="4" t="s">
        <v>755</v>
      </c>
      <c r="E84" s="4" t="s">
        <v>760</v>
      </c>
    </row>
    <row r="85" spans="2:6">
      <c r="B85" s="4" t="s">
        <v>278</v>
      </c>
      <c r="C85" s="4" t="s">
        <v>277</v>
      </c>
      <c r="D85" s="4" t="s">
        <v>763</v>
      </c>
      <c r="E85" s="4" t="s">
        <v>756</v>
      </c>
      <c r="F85" s="4" t="s">
        <v>764</v>
      </c>
    </row>
    <row r="86" spans="2:6">
      <c r="B86" s="4" t="s">
        <v>290</v>
      </c>
      <c r="C86" s="4" t="s">
        <v>289</v>
      </c>
      <c r="D86" s="4" t="s">
        <v>759</v>
      </c>
      <c r="E86" s="4" t="s">
        <v>760</v>
      </c>
    </row>
    <row r="87" spans="2:6">
      <c r="B87" s="4" t="s">
        <v>284</v>
      </c>
      <c r="C87" s="4" t="s">
        <v>283</v>
      </c>
      <c r="D87" s="4" t="s">
        <v>763</v>
      </c>
      <c r="E87" s="4" t="s">
        <v>756</v>
      </c>
      <c r="F87" s="4" t="s">
        <v>757</v>
      </c>
    </row>
    <row r="88" spans="2:6">
      <c r="B88" s="4" t="s">
        <v>260</v>
      </c>
      <c r="C88" s="4" t="s">
        <v>259</v>
      </c>
      <c r="D88" s="4" t="s">
        <v>761</v>
      </c>
      <c r="E88" s="4" t="s">
        <v>762</v>
      </c>
      <c r="F88" s="4" t="s">
        <v>754</v>
      </c>
    </row>
    <row r="89" spans="2:6">
      <c r="B89" s="4" t="s">
        <v>269</v>
      </c>
      <c r="C89" s="4" t="s">
        <v>268</v>
      </c>
      <c r="D89" s="4" t="s">
        <v>761</v>
      </c>
      <c r="E89" s="4" t="s">
        <v>753</v>
      </c>
      <c r="F89" s="4" t="s">
        <v>754</v>
      </c>
    </row>
    <row r="90" spans="2:6">
      <c r="B90" s="4" t="s">
        <v>293</v>
      </c>
      <c r="C90" s="4" t="s">
        <v>292</v>
      </c>
      <c r="D90" s="4" t="s">
        <v>763</v>
      </c>
      <c r="E90" s="4" t="s">
        <v>760</v>
      </c>
      <c r="F90" s="4" t="s">
        <v>754</v>
      </c>
    </row>
    <row r="91" spans="2:6">
      <c r="B91" s="4" t="s">
        <v>307</v>
      </c>
      <c r="C91" s="4" t="s">
        <v>306</v>
      </c>
      <c r="D91" s="4" t="s">
        <v>763</v>
      </c>
      <c r="E91" s="4" t="s">
        <v>762</v>
      </c>
      <c r="F91" s="4" t="s">
        <v>754</v>
      </c>
    </row>
    <row r="92" spans="2:6">
      <c r="B92" s="4" t="s">
        <v>301</v>
      </c>
      <c r="C92" s="4" t="s">
        <v>300</v>
      </c>
      <c r="D92" s="4" t="s">
        <v>763</v>
      </c>
      <c r="E92" s="4" t="s">
        <v>762</v>
      </c>
      <c r="F92" s="4" t="s">
        <v>754</v>
      </c>
    </row>
    <row r="93" spans="2:6">
      <c r="B93" s="4" t="s">
        <v>788</v>
      </c>
      <c r="C93" s="4" t="s">
        <v>295</v>
      </c>
      <c r="D93" s="4" t="s">
        <v>759</v>
      </c>
      <c r="E93" s="4" t="s">
        <v>760</v>
      </c>
    </row>
    <row r="94" spans="2:6">
      <c r="B94" s="4" t="s">
        <v>310</v>
      </c>
      <c r="C94" s="4" t="s">
        <v>309</v>
      </c>
      <c r="D94" s="4" t="s">
        <v>755</v>
      </c>
      <c r="E94" s="4" t="s">
        <v>760</v>
      </c>
    </row>
    <row r="95" spans="2:6">
      <c r="B95" s="4" t="s">
        <v>334</v>
      </c>
      <c r="C95" s="4" t="s">
        <v>333</v>
      </c>
      <c r="D95" s="4" t="s">
        <v>755</v>
      </c>
      <c r="E95" s="4" t="s">
        <v>760</v>
      </c>
    </row>
    <row r="96" spans="2:6">
      <c r="B96" s="4" t="s">
        <v>319</v>
      </c>
      <c r="C96" s="4" t="s">
        <v>318</v>
      </c>
      <c r="D96" s="4" t="s">
        <v>752</v>
      </c>
      <c r="E96" s="4" t="s">
        <v>762</v>
      </c>
      <c r="F96" s="4" t="s">
        <v>757</v>
      </c>
    </row>
    <row r="97" spans="2:6">
      <c r="B97" s="4" t="s">
        <v>313</v>
      </c>
      <c r="C97" s="4" t="s">
        <v>312</v>
      </c>
      <c r="D97" s="4" t="s">
        <v>759</v>
      </c>
      <c r="E97" s="4" t="s">
        <v>756</v>
      </c>
      <c r="F97" s="4" t="s">
        <v>757</v>
      </c>
    </row>
    <row r="98" spans="2:6">
      <c r="B98" s="4" t="s">
        <v>769</v>
      </c>
      <c r="C98" s="4" t="s">
        <v>327</v>
      </c>
      <c r="D98" s="4" t="s">
        <v>758</v>
      </c>
      <c r="E98" s="4" t="s">
        <v>756</v>
      </c>
      <c r="F98" s="4" t="s">
        <v>757</v>
      </c>
    </row>
    <row r="99" spans="2:6">
      <c r="B99" s="4" t="s">
        <v>331</v>
      </c>
      <c r="C99" s="4" t="s">
        <v>330</v>
      </c>
      <c r="D99" s="4" t="s">
        <v>758</v>
      </c>
      <c r="E99" s="4" t="s">
        <v>756</v>
      </c>
      <c r="F99" s="4" t="s">
        <v>757</v>
      </c>
    </row>
    <row r="100" spans="2:6">
      <c r="B100" s="4" t="s">
        <v>325</v>
      </c>
      <c r="C100" s="4" t="s">
        <v>324</v>
      </c>
      <c r="D100" s="4" t="s">
        <v>755</v>
      </c>
      <c r="E100" s="4" t="s">
        <v>760</v>
      </c>
    </row>
    <row r="101" spans="2:6">
      <c r="B101" s="4" t="s">
        <v>316</v>
      </c>
      <c r="C101" s="4" t="s">
        <v>315</v>
      </c>
      <c r="D101" s="4" t="s">
        <v>755</v>
      </c>
      <c r="E101" s="4" t="s">
        <v>760</v>
      </c>
    </row>
    <row r="102" spans="2:6">
      <c r="B102" s="4" t="s">
        <v>337</v>
      </c>
      <c r="C102" s="4" t="s">
        <v>336</v>
      </c>
      <c r="D102" s="4" t="s">
        <v>758</v>
      </c>
      <c r="E102" s="4" t="s">
        <v>760</v>
      </c>
    </row>
    <row r="103" spans="2:6">
      <c r="B103" s="4" t="s">
        <v>340</v>
      </c>
      <c r="C103" s="4" t="s">
        <v>339</v>
      </c>
      <c r="D103" s="4" t="s">
        <v>755</v>
      </c>
      <c r="E103" s="4" t="s">
        <v>760</v>
      </c>
    </row>
    <row r="104" spans="2:6">
      <c r="B104" s="4" t="s">
        <v>343</v>
      </c>
      <c r="C104" s="4" t="s">
        <v>342</v>
      </c>
      <c r="D104" s="4" t="s">
        <v>763</v>
      </c>
      <c r="E104" s="4" t="s">
        <v>756</v>
      </c>
      <c r="F104" s="4" t="s">
        <v>757</v>
      </c>
    </row>
    <row r="105" spans="2:6">
      <c r="B105" s="4" t="s">
        <v>351</v>
      </c>
      <c r="C105" s="4" t="s">
        <v>350</v>
      </c>
      <c r="D105" s="4" t="s">
        <v>759</v>
      </c>
      <c r="E105" s="4" t="s">
        <v>760</v>
      </c>
    </row>
    <row r="106" spans="2:6">
      <c r="B106" s="4" t="s">
        <v>348</v>
      </c>
      <c r="C106" s="4" t="s">
        <v>347</v>
      </c>
      <c r="D106" s="4" t="s">
        <v>758</v>
      </c>
      <c r="E106" s="4" t="s">
        <v>762</v>
      </c>
      <c r="F106" s="4" t="s">
        <v>757</v>
      </c>
    </row>
    <row r="107" spans="2:6">
      <c r="B107" s="4" t="s">
        <v>354</v>
      </c>
      <c r="C107" s="4" t="s">
        <v>353</v>
      </c>
      <c r="D107" s="4" t="s">
        <v>755</v>
      </c>
      <c r="E107" s="4" t="s">
        <v>756</v>
      </c>
      <c r="F107" s="4" t="s">
        <v>757</v>
      </c>
    </row>
    <row r="108" spans="2:6">
      <c r="B108" s="4" t="s">
        <v>357</v>
      </c>
      <c r="C108" s="4" t="s">
        <v>356</v>
      </c>
      <c r="D108" s="4" t="s">
        <v>761</v>
      </c>
      <c r="E108" s="4" t="s">
        <v>762</v>
      </c>
      <c r="F108" s="4" t="s">
        <v>764</v>
      </c>
    </row>
    <row r="109" spans="2:6">
      <c r="B109" s="4" t="s">
        <v>366</v>
      </c>
      <c r="C109" s="4" t="s">
        <v>365</v>
      </c>
      <c r="D109" s="4" t="s">
        <v>759</v>
      </c>
      <c r="E109" s="4" t="s">
        <v>762</v>
      </c>
      <c r="F109" s="4" t="s">
        <v>754</v>
      </c>
    </row>
    <row r="110" spans="2:6">
      <c r="B110" s="4" t="s">
        <v>797</v>
      </c>
      <c r="C110" s="4" t="s">
        <v>542</v>
      </c>
      <c r="D110" s="4" t="s">
        <v>759</v>
      </c>
      <c r="E110" s="4" t="s">
        <v>753</v>
      </c>
    </row>
    <row r="111" spans="2:6">
      <c r="B111" s="4" t="s">
        <v>372</v>
      </c>
      <c r="C111" s="4" t="s">
        <v>371</v>
      </c>
      <c r="D111" s="4" t="s">
        <v>759</v>
      </c>
      <c r="E111" s="4" t="s">
        <v>760</v>
      </c>
    </row>
    <row r="112" spans="2:6">
      <c r="B112" s="4" t="s">
        <v>770</v>
      </c>
      <c r="C112" s="4" t="s">
        <v>728</v>
      </c>
      <c r="D112" s="4" t="s">
        <v>755</v>
      </c>
      <c r="E112" s="4" t="s">
        <v>756</v>
      </c>
      <c r="F112" s="4" t="s">
        <v>754</v>
      </c>
    </row>
    <row r="113" spans="2:6">
      <c r="B113" s="4" t="s">
        <v>375</v>
      </c>
      <c r="C113" s="4" t="s">
        <v>374</v>
      </c>
      <c r="D113" s="4" t="s">
        <v>758</v>
      </c>
      <c r="E113" s="4" t="s">
        <v>760</v>
      </c>
    </row>
    <row r="114" spans="2:6">
      <c r="B114" s="4" t="s">
        <v>360</v>
      </c>
      <c r="C114" s="4" t="s">
        <v>359</v>
      </c>
      <c r="D114" s="4" t="s">
        <v>755</v>
      </c>
      <c r="E114" s="4" t="s">
        <v>762</v>
      </c>
      <c r="F114" s="4" t="s">
        <v>754</v>
      </c>
    </row>
    <row r="115" spans="2:6">
      <c r="B115" s="4" t="s">
        <v>790</v>
      </c>
      <c r="C115" s="4" t="s">
        <v>377</v>
      </c>
      <c r="D115" s="4" t="s">
        <v>759</v>
      </c>
      <c r="E115" s="4" t="s">
        <v>762</v>
      </c>
      <c r="F115" s="4" t="s">
        <v>754</v>
      </c>
    </row>
    <row r="116" spans="2:6">
      <c r="B116" s="4" t="s">
        <v>407</v>
      </c>
      <c r="C116" s="4" t="s">
        <v>406</v>
      </c>
      <c r="D116" s="4" t="s">
        <v>755</v>
      </c>
      <c r="E116" s="4" t="s">
        <v>760</v>
      </c>
    </row>
    <row r="117" spans="2:6">
      <c r="B117" s="4" t="s">
        <v>380</v>
      </c>
      <c r="C117" s="4" t="s">
        <v>379</v>
      </c>
      <c r="D117" s="4" t="s">
        <v>758</v>
      </c>
      <c r="E117" s="4" t="s">
        <v>762</v>
      </c>
      <c r="F117" s="4" t="s">
        <v>757</v>
      </c>
    </row>
    <row r="118" spans="2:6">
      <c r="B118" s="4" t="s">
        <v>398</v>
      </c>
      <c r="C118" s="4" t="s">
        <v>397</v>
      </c>
      <c r="D118" s="4" t="s">
        <v>761</v>
      </c>
      <c r="E118" s="4" t="s">
        <v>762</v>
      </c>
      <c r="F118" s="4" t="s">
        <v>754</v>
      </c>
    </row>
    <row r="119" spans="2:6">
      <c r="B119" s="4" t="s">
        <v>383</v>
      </c>
      <c r="C119" s="4" t="s">
        <v>382</v>
      </c>
      <c r="D119" s="4" t="s">
        <v>761</v>
      </c>
      <c r="E119" s="4" t="s">
        <v>753</v>
      </c>
      <c r="F119" s="4" t="s">
        <v>754</v>
      </c>
    </row>
    <row r="120" spans="2:6">
      <c r="B120" s="4" t="s">
        <v>386</v>
      </c>
      <c r="C120" s="4" t="s">
        <v>385</v>
      </c>
      <c r="D120" s="4" t="s">
        <v>758</v>
      </c>
      <c r="E120" s="4" t="s">
        <v>756</v>
      </c>
      <c r="F120" s="4" t="s">
        <v>757</v>
      </c>
    </row>
    <row r="121" spans="2:6">
      <c r="B121" s="4" t="s">
        <v>392</v>
      </c>
      <c r="C121" s="4" t="s">
        <v>391</v>
      </c>
      <c r="D121" s="4" t="s">
        <v>755</v>
      </c>
      <c r="E121" s="4" t="s">
        <v>760</v>
      </c>
    </row>
    <row r="122" spans="2:6">
      <c r="B122" s="4" t="s">
        <v>401</v>
      </c>
      <c r="C122" s="4" t="s">
        <v>400</v>
      </c>
      <c r="D122" s="4" t="s">
        <v>755</v>
      </c>
      <c r="E122" s="4" t="s">
        <v>760</v>
      </c>
    </row>
    <row r="123" spans="2:6">
      <c r="B123" s="4" t="s">
        <v>404</v>
      </c>
      <c r="C123" s="4" t="s">
        <v>403</v>
      </c>
      <c r="D123" s="4" t="s">
        <v>755</v>
      </c>
      <c r="E123" s="4" t="s">
        <v>760</v>
      </c>
    </row>
    <row r="124" spans="2:6">
      <c r="B124" s="4" t="s">
        <v>791</v>
      </c>
      <c r="C124" s="4" t="s">
        <v>409</v>
      </c>
      <c r="D124" s="4" t="s">
        <v>759</v>
      </c>
      <c r="E124" s="4" t="s">
        <v>760</v>
      </c>
    </row>
    <row r="125" spans="2:6">
      <c r="B125" s="4" t="s">
        <v>423</v>
      </c>
      <c r="C125" s="4" t="s">
        <v>422</v>
      </c>
      <c r="D125" s="4" t="s">
        <v>761</v>
      </c>
      <c r="E125" s="4" t="s">
        <v>753</v>
      </c>
      <c r="F125" s="4" t="s">
        <v>754</v>
      </c>
    </row>
    <row r="126" spans="2:6">
      <c r="B126" s="4" t="s">
        <v>470</v>
      </c>
      <c r="C126" s="4" t="s">
        <v>469</v>
      </c>
      <c r="D126" s="4" t="s">
        <v>761</v>
      </c>
      <c r="E126" s="4" t="s">
        <v>753</v>
      </c>
      <c r="F126" s="4" t="s">
        <v>754</v>
      </c>
    </row>
    <row r="127" spans="2:6">
      <c r="B127" s="4" t="s">
        <v>473</v>
      </c>
      <c r="C127" s="4" t="s">
        <v>472</v>
      </c>
      <c r="D127" s="4" t="s">
        <v>759</v>
      </c>
      <c r="E127" s="4" t="s">
        <v>756</v>
      </c>
      <c r="F127" s="4" t="s">
        <v>757</v>
      </c>
    </row>
    <row r="128" spans="2:6">
      <c r="B128" s="4" t="s">
        <v>426</v>
      </c>
      <c r="C128" s="4" t="s">
        <v>425</v>
      </c>
      <c r="D128" s="4" t="s">
        <v>752</v>
      </c>
      <c r="E128" s="4" t="s">
        <v>756</v>
      </c>
      <c r="F128" s="4" t="s">
        <v>754</v>
      </c>
    </row>
    <row r="129" spans="2:6">
      <c r="B129" s="4" t="s">
        <v>437</v>
      </c>
      <c r="C129" s="4" t="s">
        <v>436</v>
      </c>
      <c r="D129" s="4" t="s">
        <v>761</v>
      </c>
      <c r="E129" s="4" t="s">
        <v>753</v>
      </c>
      <c r="F129" s="4" t="s">
        <v>754</v>
      </c>
    </row>
    <row r="130" spans="2:6">
      <c r="B130" s="4" t="s">
        <v>440</v>
      </c>
      <c r="C130" s="4" t="s">
        <v>439</v>
      </c>
      <c r="D130" s="4" t="s">
        <v>758</v>
      </c>
      <c r="E130" s="4" t="s">
        <v>760</v>
      </c>
    </row>
    <row r="131" spans="2:6">
      <c r="B131" s="4" t="s">
        <v>432</v>
      </c>
      <c r="C131" s="4" t="s">
        <v>431</v>
      </c>
      <c r="D131" s="4" t="s">
        <v>759</v>
      </c>
      <c r="E131" s="4" t="s">
        <v>756</v>
      </c>
      <c r="F131" s="4" t="s">
        <v>754</v>
      </c>
    </row>
    <row r="132" spans="2:6">
      <c r="B132" s="4" t="s">
        <v>458</v>
      </c>
      <c r="C132" s="4" t="s">
        <v>457</v>
      </c>
      <c r="D132" s="4" t="s">
        <v>761</v>
      </c>
      <c r="E132" s="4" t="s">
        <v>762</v>
      </c>
      <c r="F132" s="4" t="s">
        <v>754</v>
      </c>
    </row>
    <row r="133" spans="2:6">
      <c r="B133" s="4" t="s">
        <v>467</v>
      </c>
      <c r="C133" s="4" t="s">
        <v>466</v>
      </c>
      <c r="D133" s="4" t="s">
        <v>761</v>
      </c>
      <c r="E133" s="4" t="s">
        <v>756</v>
      </c>
      <c r="F133" s="4" t="s">
        <v>757</v>
      </c>
    </row>
    <row r="134" spans="2:6">
      <c r="B134" s="4" t="s">
        <v>429</v>
      </c>
      <c r="C134" s="4" t="s">
        <v>428</v>
      </c>
      <c r="D134" s="4" t="s">
        <v>763</v>
      </c>
      <c r="E134" s="4" t="s">
        <v>756</v>
      </c>
      <c r="F134" s="4" t="s">
        <v>757</v>
      </c>
    </row>
    <row r="135" spans="2:6">
      <c r="B135" s="4" t="s">
        <v>771</v>
      </c>
      <c r="C135" s="4" t="s">
        <v>239</v>
      </c>
      <c r="D135" s="4" t="s">
        <v>759</v>
      </c>
      <c r="E135" s="4" t="s">
        <v>762</v>
      </c>
      <c r="F135" s="4" t="s">
        <v>754</v>
      </c>
    </row>
    <row r="136" spans="2:6">
      <c r="B136" s="4" t="s">
        <v>772</v>
      </c>
      <c r="C136" s="4" t="s">
        <v>420</v>
      </c>
      <c r="D136" s="4" t="s">
        <v>755</v>
      </c>
      <c r="E136" s="4" t="s">
        <v>756</v>
      </c>
      <c r="F136" s="4" t="s">
        <v>757</v>
      </c>
    </row>
    <row r="137" spans="2:6">
      <c r="B137" s="4" t="s">
        <v>418</v>
      </c>
      <c r="C137" s="4" t="s">
        <v>417</v>
      </c>
      <c r="D137" s="4" t="s">
        <v>755</v>
      </c>
      <c r="E137" s="4" t="s">
        <v>760</v>
      </c>
    </row>
    <row r="138" spans="2:6">
      <c r="B138" s="4" t="s">
        <v>449</v>
      </c>
      <c r="C138" s="4" t="s">
        <v>448</v>
      </c>
      <c r="D138" s="4" t="s">
        <v>759</v>
      </c>
      <c r="E138" s="4" t="s">
        <v>756</v>
      </c>
      <c r="F138" s="4" t="s">
        <v>757</v>
      </c>
    </row>
    <row r="139" spans="2:6">
      <c r="B139" s="4" t="s">
        <v>446</v>
      </c>
      <c r="C139" s="4" t="s">
        <v>445</v>
      </c>
      <c r="D139" s="4" t="s">
        <v>755</v>
      </c>
      <c r="E139" s="4" t="s">
        <v>756</v>
      </c>
      <c r="F139" s="4" t="s">
        <v>757</v>
      </c>
    </row>
    <row r="140" spans="2:6">
      <c r="B140" s="4" t="s">
        <v>461</v>
      </c>
      <c r="C140" s="4" t="s">
        <v>460</v>
      </c>
      <c r="D140" s="4" t="s">
        <v>763</v>
      </c>
    </row>
    <row r="141" spans="2:6">
      <c r="B141" s="4" t="s">
        <v>415</v>
      </c>
      <c r="C141" s="4" t="s">
        <v>414</v>
      </c>
      <c r="D141" s="4" t="s">
        <v>758</v>
      </c>
      <c r="E141" s="4" t="s">
        <v>762</v>
      </c>
      <c r="F141" s="4" t="s">
        <v>757</v>
      </c>
    </row>
    <row r="142" spans="2:6">
      <c r="B142" s="4" t="s">
        <v>455</v>
      </c>
      <c r="C142" s="4" t="s">
        <v>454</v>
      </c>
      <c r="D142" s="4" t="s">
        <v>761</v>
      </c>
      <c r="E142" s="4" t="s">
        <v>753</v>
      </c>
      <c r="F142" s="4" t="s">
        <v>754</v>
      </c>
    </row>
    <row r="143" spans="2:6">
      <c r="B143" s="4" t="s">
        <v>443</v>
      </c>
      <c r="C143" s="4" t="s">
        <v>442</v>
      </c>
      <c r="D143" s="4" t="s">
        <v>759</v>
      </c>
      <c r="E143" s="4" t="s">
        <v>762</v>
      </c>
      <c r="F143" s="4" t="s">
        <v>754</v>
      </c>
    </row>
    <row r="144" spans="2:6">
      <c r="B144" s="4" t="s">
        <v>478</v>
      </c>
      <c r="C144" s="4" t="s">
        <v>477</v>
      </c>
      <c r="D144" s="4" t="s">
        <v>761</v>
      </c>
      <c r="E144" s="4" t="s">
        <v>756</v>
      </c>
      <c r="F144" s="4" t="s">
        <v>757</v>
      </c>
    </row>
    <row r="145" spans="2:6">
      <c r="B145" s="4" t="s">
        <v>507</v>
      </c>
      <c r="C145" s="4" t="s">
        <v>506</v>
      </c>
      <c r="D145" s="4" t="s">
        <v>759</v>
      </c>
      <c r="E145" s="4" t="s">
        <v>760</v>
      </c>
      <c r="F145" s="4" t="s">
        <v>757</v>
      </c>
    </row>
    <row r="146" spans="2:6">
      <c r="B146" s="4" t="s">
        <v>504</v>
      </c>
      <c r="C146" s="4" t="s">
        <v>503</v>
      </c>
      <c r="D146" s="4" t="s">
        <v>752</v>
      </c>
      <c r="E146" s="4" t="s">
        <v>762</v>
      </c>
      <c r="F146" s="4" t="s">
        <v>754</v>
      </c>
    </row>
    <row r="147" spans="2:6">
      <c r="B147" s="4" t="s">
        <v>499</v>
      </c>
      <c r="C147" s="4" t="s">
        <v>498</v>
      </c>
      <c r="D147" s="4" t="s">
        <v>755</v>
      </c>
      <c r="E147" s="4" t="s">
        <v>760</v>
      </c>
    </row>
    <row r="148" spans="2:6">
      <c r="B148" s="4" t="s">
        <v>481</v>
      </c>
      <c r="C148" s="4" t="s">
        <v>480</v>
      </c>
      <c r="D148" s="4" t="s">
        <v>759</v>
      </c>
      <c r="E148" s="4" t="s">
        <v>760</v>
      </c>
    </row>
    <row r="149" spans="2:6">
      <c r="B149" s="4" t="s">
        <v>510</v>
      </c>
      <c r="C149" s="4" t="s">
        <v>509</v>
      </c>
      <c r="D149" s="4" t="s">
        <v>759</v>
      </c>
      <c r="E149" s="4" t="s">
        <v>760</v>
      </c>
    </row>
    <row r="150" spans="2:6">
      <c r="B150" s="4" t="s">
        <v>493</v>
      </c>
      <c r="C150" s="4" t="s">
        <v>492</v>
      </c>
      <c r="D150" s="4" t="s">
        <v>763</v>
      </c>
      <c r="E150" s="4" t="s">
        <v>762</v>
      </c>
      <c r="F150" s="4" t="s">
        <v>754</v>
      </c>
    </row>
    <row r="151" spans="2:6">
      <c r="B151" s="4" t="s">
        <v>484</v>
      </c>
      <c r="C151" s="4" t="s">
        <v>483</v>
      </c>
      <c r="D151" s="4" t="s">
        <v>761</v>
      </c>
      <c r="E151" s="4" t="s">
        <v>753</v>
      </c>
      <c r="F151" s="4" t="s">
        <v>754</v>
      </c>
    </row>
    <row r="152" spans="2:6">
      <c r="B152" s="4" t="s">
        <v>490</v>
      </c>
      <c r="C152" s="4" t="s">
        <v>489</v>
      </c>
      <c r="D152" s="4" t="s">
        <v>761</v>
      </c>
      <c r="E152" s="4" t="s">
        <v>762</v>
      </c>
      <c r="F152" s="4" t="s">
        <v>764</v>
      </c>
    </row>
    <row r="153" spans="2:6">
      <c r="B153" s="4" t="s">
        <v>792</v>
      </c>
      <c r="C153" s="4" t="s">
        <v>434</v>
      </c>
      <c r="D153" s="4" t="s">
        <v>755</v>
      </c>
      <c r="E153" s="4" t="s">
        <v>756</v>
      </c>
      <c r="F153" s="4" t="s">
        <v>757</v>
      </c>
    </row>
    <row r="154" spans="2:6">
      <c r="B154" s="4" t="s">
        <v>452</v>
      </c>
      <c r="C154" s="4" t="s">
        <v>451</v>
      </c>
      <c r="D154" s="4" t="s">
        <v>759</v>
      </c>
      <c r="E154" s="4" t="s">
        <v>760</v>
      </c>
    </row>
    <row r="155" spans="2:6">
      <c r="B155" s="4" t="s">
        <v>501</v>
      </c>
      <c r="C155" s="4" t="s">
        <v>500</v>
      </c>
      <c r="D155" s="4" t="s">
        <v>755</v>
      </c>
      <c r="E155" s="4" t="s">
        <v>760</v>
      </c>
    </row>
    <row r="156" spans="2:6">
      <c r="B156" s="4" t="s">
        <v>513</v>
      </c>
      <c r="C156" s="4" t="s">
        <v>512</v>
      </c>
      <c r="D156" s="4" t="s">
        <v>758</v>
      </c>
      <c r="E156" s="4" t="s">
        <v>760</v>
      </c>
    </row>
    <row r="157" spans="2:6">
      <c r="B157" s="4" t="s">
        <v>516</v>
      </c>
      <c r="C157" s="4" t="s">
        <v>515</v>
      </c>
      <c r="D157" s="4" t="s">
        <v>752</v>
      </c>
      <c r="E157" s="4" t="s">
        <v>762</v>
      </c>
      <c r="F157" s="4" t="s">
        <v>764</v>
      </c>
    </row>
    <row r="158" spans="2:6">
      <c r="B158" s="4" t="s">
        <v>531</v>
      </c>
      <c r="C158" s="4" t="s">
        <v>530</v>
      </c>
      <c r="D158" s="4" t="s">
        <v>759</v>
      </c>
      <c r="E158" s="4" t="s">
        <v>760</v>
      </c>
      <c r="F158" s="4" t="s">
        <v>757</v>
      </c>
    </row>
    <row r="159" spans="2:6">
      <c r="B159" s="4" t="s">
        <v>519</v>
      </c>
      <c r="C159" s="4" t="s">
        <v>518</v>
      </c>
      <c r="D159" s="4" t="s">
        <v>763</v>
      </c>
      <c r="E159" s="4" t="s">
        <v>760</v>
      </c>
      <c r="F159" s="4" t="s">
        <v>757</v>
      </c>
    </row>
    <row r="160" spans="2:6">
      <c r="B160" s="4" t="s">
        <v>534</v>
      </c>
      <c r="C160" s="4" t="s">
        <v>533</v>
      </c>
      <c r="D160" s="4" t="s">
        <v>759</v>
      </c>
      <c r="E160" s="4" t="s">
        <v>762</v>
      </c>
      <c r="F160" s="4" t="s">
        <v>764</v>
      </c>
    </row>
    <row r="161" spans="2:6">
      <c r="B161" s="4" t="s">
        <v>549</v>
      </c>
      <c r="C161" s="4" t="s">
        <v>548</v>
      </c>
      <c r="D161" s="4" t="s">
        <v>763</v>
      </c>
      <c r="E161" s="4" t="s">
        <v>756</v>
      </c>
      <c r="F161" s="4" t="s">
        <v>757</v>
      </c>
    </row>
    <row r="162" spans="2:6">
      <c r="B162" s="4" t="s">
        <v>525</v>
      </c>
      <c r="C162" s="4" t="s">
        <v>524</v>
      </c>
      <c r="D162" s="4" t="s">
        <v>763</v>
      </c>
      <c r="E162" s="4" t="s">
        <v>756</v>
      </c>
      <c r="F162" s="4" t="s">
        <v>757</v>
      </c>
    </row>
    <row r="163" spans="2:6">
      <c r="B163" s="4" t="s">
        <v>528</v>
      </c>
      <c r="C163" s="4" t="s">
        <v>527</v>
      </c>
      <c r="D163" s="4" t="s">
        <v>759</v>
      </c>
      <c r="E163" s="4" t="s">
        <v>762</v>
      </c>
      <c r="F163" s="4" t="s">
        <v>757</v>
      </c>
    </row>
    <row r="164" spans="2:6">
      <c r="B164" s="4" t="s">
        <v>537</v>
      </c>
      <c r="C164" s="4" t="s">
        <v>536</v>
      </c>
      <c r="D164" s="4" t="s">
        <v>755</v>
      </c>
      <c r="E164" s="4" t="s">
        <v>760</v>
      </c>
      <c r="F164" s="4" t="s">
        <v>757</v>
      </c>
    </row>
    <row r="165" spans="2:6">
      <c r="B165" s="4" t="s">
        <v>546</v>
      </c>
      <c r="C165" s="4" t="s">
        <v>545</v>
      </c>
      <c r="D165" s="4" t="s">
        <v>755</v>
      </c>
      <c r="E165" s="4" t="s">
        <v>760</v>
      </c>
    </row>
    <row r="166" spans="2:6">
      <c r="B166" s="4" t="s">
        <v>540</v>
      </c>
      <c r="C166" s="4" t="s">
        <v>539</v>
      </c>
      <c r="D166" s="4" t="s">
        <v>763</v>
      </c>
      <c r="E166" s="4" t="s">
        <v>760</v>
      </c>
    </row>
    <row r="167" spans="2:6">
      <c r="B167" s="4" t="s">
        <v>558</v>
      </c>
      <c r="C167" s="4" t="s">
        <v>557</v>
      </c>
      <c r="D167" s="4" t="s">
        <v>758</v>
      </c>
      <c r="E167" s="4" t="s">
        <v>760</v>
      </c>
    </row>
    <row r="168" spans="2:6">
      <c r="B168" s="4" t="s">
        <v>564</v>
      </c>
      <c r="C168" s="4" t="s">
        <v>563</v>
      </c>
      <c r="D168" s="4" t="s">
        <v>755</v>
      </c>
      <c r="E168" s="4" t="s">
        <v>760</v>
      </c>
      <c r="F168" s="4" t="s">
        <v>757</v>
      </c>
    </row>
    <row r="169" spans="2:6">
      <c r="B169" s="4" t="s">
        <v>798</v>
      </c>
      <c r="C169" s="4" t="s">
        <v>566</v>
      </c>
      <c r="D169" s="4" t="s">
        <v>755</v>
      </c>
      <c r="E169" s="4" t="s">
        <v>760</v>
      </c>
      <c r="F169" s="4" t="s">
        <v>757</v>
      </c>
    </row>
    <row r="170" spans="2:6">
      <c r="B170" s="4" t="s">
        <v>569</v>
      </c>
      <c r="C170" s="4" t="s">
        <v>568</v>
      </c>
      <c r="D170" s="4" t="s">
        <v>761</v>
      </c>
      <c r="E170" s="4" t="s">
        <v>753</v>
      </c>
      <c r="F170" s="4" t="s">
        <v>754</v>
      </c>
    </row>
    <row r="171" spans="2:6">
      <c r="B171" s="4" t="s">
        <v>726</v>
      </c>
      <c r="C171" s="4" t="s">
        <v>725</v>
      </c>
      <c r="D171" s="4" t="s">
        <v>759</v>
      </c>
      <c r="E171" s="4" t="s">
        <v>762</v>
      </c>
      <c r="F171" s="4" t="s">
        <v>754</v>
      </c>
    </row>
    <row r="172" spans="2:6">
      <c r="B172" s="4" t="s">
        <v>601</v>
      </c>
      <c r="C172" s="4" t="s">
        <v>600</v>
      </c>
      <c r="D172" s="4" t="s">
        <v>755</v>
      </c>
      <c r="E172" s="4" t="s">
        <v>760</v>
      </c>
    </row>
    <row r="173" spans="2:6">
      <c r="B173" s="4" t="s">
        <v>773</v>
      </c>
      <c r="C173" s="4" t="s">
        <v>615</v>
      </c>
      <c r="D173" s="4" t="s">
        <v>761</v>
      </c>
      <c r="E173" s="4" t="s">
        <v>762</v>
      </c>
      <c r="F173" s="4" t="s">
        <v>754</v>
      </c>
    </row>
    <row r="174" spans="2:6">
      <c r="B174" s="4" t="s">
        <v>571</v>
      </c>
      <c r="C174" s="4" t="s">
        <v>570</v>
      </c>
      <c r="D174" s="4" t="s">
        <v>758</v>
      </c>
      <c r="E174" s="4" t="s">
        <v>760</v>
      </c>
    </row>
    <row r="175" spans="2:6">
      <c r="B175" s="4" t="s">
        <v>577</v>
      </c>
      <c r="C175" s="4" t="s">
        <v>576</v>
      </c>
      <c r="D175" s="4" t="s">
        <v>761</v>
      </c>
      <c r="E175" s="4" t="s">
        <v>762</v>
      </c>
      <c r="F175" s="4" t="s">
        <v>754</v>
      </c>
    </row>
    <row r="176" spans="2:6">
      <c r="B176" s="4" t="s">
        <v>610</v>
      </c>
      <c r="C176" s="4" t="s">
        <v>609</v>
      </c>
      <c r="D176" s="4" t="s">
        <v>755</v>
      </c>
      <c r="E176" s="4" t="s">
        <v>756</v>
      </c>
      <c r="F176" s="4" t="s">
        <v>757</v>
      </c>
    </row>
    <row r="177" spans="2:6">
      <c r="B177" s="4" t="s">
        <v>636</v>
      </c>
      <c r="C177" s="4" t="s">
        <v>635</v>
      </c>
      <c r="D177" s="4" t="s">
        <v>761</v>
      </c>
      <c r="E177" s="4" t="s">
        <v>760</v>
      </c>
      <c r="F177" s="4" t="s">
        <v>757</v>
      </c>
    </row>
    <row r="178" spans="2:6">
      <c r="B178" s="4" t="s">
        <v>595</v>
      </c>
      <c r="C178" s="4" t="s">
        <v>594</v>
      </c>
      <c r="D178" s="4" t="s">
        <v>761</v>
      </c>
      <c r="E178" s="4" t="s">
        <v>753</v>
      </c>
      <c r="F178" s="4" t="s">
        <v>754</v>
      </c>
    </row>
    <row r="179" spans="2:6">
      <c r="B179" s="4" t="s">
        <v>580</v>
      </c>
      <c r="C179" s="4" t="s">
        <v>579</v>
      </c>
      <c r="D179" s="4" t="s">
        <v>759</v>
      </c>
      <c r="E179" s="4" t="s">
        <v>760</v>
      </c>
    </row>
    <row r="180" spans="2:6">
      <c r="B180" s="4" t="s">
        <v>795</v>
      </c>
      <c r="C180" s="4" t="s">
        <v>633</v>
      </c>
      <c r="D180" s="4" t="s">
        <v>763</v>
      </c>
      <c r="E180" s="4" t="s">
        <v>760</v>
      </c>
    </row>
    <row r="181" spans="2:6">
      <c r="B181" s="5" t="s">
        <v>622</v>
      </c>
      <c r="C181" s="4" t="s">
        <v>621</v>
      </c>
      <c r="D181" s="4" t="s">
        <v>755</v>
      </c>
      <c r="E181" s="4" t="s">
        <v>760</v>
      </c>
    </row>
    <row r="182" spans="2:6">
      <c r="B182" s="4" t="s">
        <v>625</v>
      </c>
      <c r="C182" s="4" t="s">
        <v>624</v>
      </c>
      <c r="D182" s="4" t="s">
        <v>755</v>
      </c>
      <c r="E182" s="4" t="s">
        <v>760</v>
      </c>
    </row>
    <row r="183" spans="2:6">
      <c r="B183" s="4" t="s">
        <v>592</v>
      </c>
      <c r="C183" s="4" t="s">
        <v>591</v>
      </c>
      <c r="D183" s="4" t="s">
        <v>759</v>
      </c>
      <c r="E183" s="4" t="s">
        <v>762</v>
      </c>
      <c r="F183" s="4" t="s">
        <v>754</v>
      </c>
    </row>
    <row r="184" spans="2:6">
      <c r="B184" s="4" t="s">
        <v>604</v>
      </c>
      <c r="C184" s="4" t="s">
        <v>603</v>
      </c>
      <c r="D184" s="4" t="s">
        <v>761</v>
      </c>
      <c r="E184" s="4" t="s">
        <v>753</v>
      </c>
      <c r="F184" s="4" t="s">
        <v>754</v>
      </c>
    </row>
    <row r="185" spans="2:6">
      <c r="B185" s="4" t="s">
        <v>735</v>
      </c>
      <c r="C185" s="4" t="s">
        <v>734</v>
      </c>
      <c r="D185" s="4" t="s">
        <v>761</v>
      </c>
      <c r="E185" s="4" t="s">
        <v>756</v>
      </c>
      <c r="F185" s="4" t="s">
        <v>757</v>
      </c>
    </row>
    <row r="186" spans="2:6">
      <c r="B186" s="4" t="s">
        <v>613</v>
      </c>
      <c r="C186" s="4" t="s">
        <v>612</v>
      </c>
      <c r="D186" s="4" t="s">
        <v>761</v>
      </c>
      <c r="E186" s="4" t="s">
        <v>753</v>
      </c>
      <c r="F186" s="4" t="s">
        <v>754</v>
      </c>
    </row>
    <row r="187" spans="2:6">
      <c r="B187" s="4" t="s">
        <v>216</v>
      </c>
      <c r="C187" s="4" t="s">
        <v>215</v>
      </c>
      <c r="D187" s="4" t="s">
        <v>755</v>
      </c>
      <c r="E187" s="4" t="s">
        <v>760</v>
      </c>
    </row>
    <row r="188" spans="2:6">
      <c r="B188" s="4" t="s">
        <v>395</v>
      </c>
      <c r="C188" s="4" t="s">
        <v>394</v>
      </c>
      <c r="D188" s="4" t="s">
        <v>752</v>
      </c>
      <c r="E188" s="4" t="s">
        <v>762</v>
      </c>
      <c r="F188" s="4" t="s">
        <v>754</v>
      </c>
    </row>
    <row r="189" spans="2:6">
      <c r="B189" s="4" t="s">
        <v>774</v>
      </c>
      <c r="C189" s="4" t="s">
        <v>368</v>
      </c>
      <c r="D189" s="4" t="s">
        <v>763</v>
      </c>
      <c r="E189" s="4" t="s">
        <v>760</v>
      </c>
      <c r="F189" s="4" t="s">
        <v>757</v>
      </c>
    </row>
    <row r="190" spans="2:6">
      <c r="B190" s="4" t="s">
        <v>775</v>
      </c>
      <c r="C190" s="4" t="s">
        <v>388</v>
      </c>
      <c r="D190" s="4" t="s">
        <v>763</v>
      </c>
      <c r="E190" s="4" t="s">
        <v>756</v>
      </c>
      <c r="F190" s="4" t="s">
        <v>764</v>
      </c>
    </row>
    <row r="191" spans="2:6">
      <c r="B191" s="4" t="s">
        <v>776</v>
      </c>
      <c r="C191" s="4" t="s">
        <v>411</v>
      </c>
      <c r="D191" s="4" t="s">
        <v>763</v>
      </c>
      <c r="E191" s="4" t="s">
        <v>760</v>
      </c>
    </row>
    <row r="192" spans="2:6">
      <c r="B192" s="4" t="s">
        <v>796</v>
      </c>
      <c r="C192" s="4" t="s">
        <v>706</v>
      </c>
      <c r="D192" s="4" t="s">
        <v>763</v>
      </c>
      <c r="E192" s="4" t="s">
        <v>756</v>
      </c>
      <c r="F192" s="4" t="s">
        <v>764</v>
      </c>
    </row>
    <row r="193" spans="2:6">
      <c r="B193" s="4" t="s">
        <v>574</v>
      </c>
      <c r="C193" s="4" t="s">
        <v>573</v>
      </c>
      <c r="D193" s="4" t="s">
        <v>761</v>
      </c>
      <c r="E193" s="4" t="s">
        <v>753</v>
      </c>
      <c r="F193" s="4" t="s">
        <v>754</v>
      </c>
    </row>
    <row r="194" spans="2:6">
      <c r="B194" s="4" t="s">
        <v>619</v>
      </c>
      <c r="C194" s="4" t="s">
        <v>618</v>
      </c>
      <c r="D194" s="4" t="s">
        <v>763</v>
      </c>
      <c r="E194" s="4" t="s">
        <v>756</v>
      </c>
      <c r="F194" s="4" t="s">
        <v>764</v>
      </c>
    </row>
    <row r="195" spans="2:6">
      <c r="B195" s="4" t="s">
        <v>628</v>
      </c>
      <c r="C195" s="4" t="s">
        <v>627</v>
      </c>
      <c r="D195" s="4" t="s">
        <v>755</v>
      </c>
      <c r="E195" s="4" t="s">
        <v>760</v>
      </c>
    </row>
    <row r="196" spans="2:6">
      <c r="B196" s="4" t="s">
        <v>136</v>
      </c>
      <c r="C196" s="4" t="s">
        <v>135</v>
      </c>
      <c r="D196" s="4" t="s">
        <v>755</v>
      </c>
      <c r="E196" s="4" t="s">
        <v>760</v>
      </c>
    </row>
    <row r="197" spans="2:6">
      <c r="B197" s="4" t="s">
        <v>639</v>
      </c>
      <c r="C197" s="4" t="s">
        <v>638</v>
      </c>
      <c r="D197" s="4" t="s">
        <v>758</v>
      </c>
      <c r="E197" s="4" t="s">
        <v>753</v>
      </c>
      <c r="F197" s="4" t="s">
        <v>754</v>
      </c>
    </row>
    <row r="198" spans="2:6">
      <c r="B198" s="4" t="s">
        <v>681</v>
      </c>
      <c r="C198" s="4" t="s">
        <v>680</v>
      </c>
      <c r="D198" s="4" t="s">
        <v>759</v>
      </c>
      <c r="E198" s="4" t="s">
        <v>760</v>
      </c>
    </row>
    <row r="199" spans="2:6">
      <c r="B199" s="4" t="s">
        <v>654</v>
      </c>
      <c r="C199" s="4" t="s">
        <v>653</v>
      </c>
      <c r="D199" s="4" t="s">
        <v>755</v>
      </c>
      <c r="E199" s="4" t="s">
        <v>762</v>
      </c>
      <c r="F199" s="4" t="s">
        <v>754</v>
      </c>
    </row>
    <row r="200" spans="2:6">
      <c r="B200" s="4" t="s">
        <v>684</v>
      </c>
      <c r="C200" s="4" t="s">
        <v>683</v>
      </c>
      <c r="D200" s="4" t="s">
        <v>761</v>
      </c>
      <c r="E200" s="4" t="s">
        <v>762</v>
      </c>
      <c r="F200" s="4" t="s">
        <v>754</v>
      </c>
    </row>
    <row r="201" spans="2:6">
      <c r="B201" s="4" t="s">
        <v>651</v>
      </c>
      <c r="C201" s="4" t="s">
        <v>650</v>
      </c>
      <c r="D201" s="4" t="s">
        <v>759</v>
      </c>
      <c r="E201" s="4" t="s">
        <v>756</v>
      </c>
      <c r="F201" s="4" t="s">
        <v>757</v>
      </c>
    </row>
    <row r="202" spans="2:6">
      <c r="B202" s="4" t="s">
        <v>663</v>
      </c>
      <c r="C202" s="4" t="s">
        <v>662</v>
      </c>
      <c r="D202" s="4" t="s">
        <v>759</v>
      </c>
      <c r="E202" s="4" t="s">
        <v>762</v>
      </c>
      <c r="F202" s="4" t="s">
        <v>764</v>
      </c>
    </row>
    <row r="203" spans="2:6">
      <c r="B203" s="4" t="s">
        <v>648</v>
      </c>
      <c r="C203" s="4" t="s">
        <v>647</v>
      </c>
      <c r="D203" s="4" t="s">
        <v>761</v>
      </c>
      <c r="E203" s="4" t="s">
        <v>753</v>
      </c>
      <c r="F203" s="4" t="s">
        <v>754</v>
      </c>
    </row>
    <row r="204" spans="2:6">
      <c r="B204" s="4" t="s">
        <v>666</v>
      </c>
      <c r="C204" s="4" t="s">
        <v>665</v>
      </c>
      <c r="D204" s="4" t="s">
        <v>759</v>
      </c>
      <c r="E204" s="4" t="s">
        <v>756</v>
      </c>
      <c r="F204" s="4" t="s">
        <v>754</v>
      </c>
    </row>
    <row r="205" spans="2:6">
      <c r="B205" s="4" t="s">
        <v>669</v>
      </c>
      <c r="C205" s="4" t="s">
        <v>668</v>
      </c>
      <c r="D205" s="4" t="s">
        <v>763</v>
      </c>
      <c r="E205" s="4" t="s">
        <v>760</v>
      </c>
      <c r="F205" s="4" t="s">
        <v>757</v>
      </c>
    </row>
    <row r="206" spans="2:6">
      <c r="B206" s="4" t="s">
        <v>672</v>
      </c>
      <c r="C206" s="4" t="s">
        <v>671</v>
      </c>
      <c r="D206" s="4" t="s">
        <v>758</v>
      </c>
      <c r="E206" s="4" t="s">
        <v>762</v>
      </c>
      <c r="F206" s="4" t="s">
        <v>757</v>
      </c>
    </row>
    <row r="207" spans="2:6">
      <c r="B207" s="4" t="s">
        <v>675</v>
      </c>
      <c r="C207" s="4" t="s">
        <v>674</v>
      </c>
      <c r="D207" s="4" t="s">
        <v>755</v>
      </c>
      <c r="E207" s="4" t="s">
        <v>756</v>
      </c>
      <c r="F207" s="4" t="s">
        <v>757</v>
      </c>
    </row>
    <row r="208" spans="2:6">
      <c r="B208" s="4" t="s">
        <v>660</v>
      </c>
      <c r="C208" s="4" t="s">
        <v>659</v>
      </c>
      <c r="D208" s="4" t="s">
        <v>755</v>
      </c>
      <c r="E208" s="4" t="s">
        <v>756</v>
      </c>
      <c r="F208" s="4" t="s">
        <v>757</v>
      </c>
    </row>
    <row r="209" spans="2:6">
      <c r="B209" s="4" t="s">
        <v>642</v>
      </c>
      <c r="C209" s="4" t="s">
        <v>641</v>
      </c>
      <c r="D209" s="4" t="s">
        <v>763</v>
      </c>
      <c r="E209" s="4" t="s">
        <v>760</v>
      </c>
    </row>
    <row r="210" spans="2:6">
      <c r="B210" s="4" t="s">
        <v>678</v>
      </c>
      <c r="C210" s="4" t="s">
        <v>677</v>
      </c>
      <c r="D210" s="4" t="s">
        <v>759</v>
      </c>
      <c r="E210" s="4" t="s">
        <v>756</v>
      </c>
      <c r="F210" s="4" t="s">
        <v>754</v>
      </c>
    </row>
    <row r="211" spans="2:6">
      <c r="B211" s="4" t="s">
        <v>687</v>
      </c>
      <c r="C211" s="4" t="s">
        <v>686</v>
      </c>
      <c r="D211" s="4" t="s">
        <v>761</v>
      </c>
      <c r="E211" s="4" t="s">
        <v>753</v>
      </c>
      <c r="F211" s="4" t="s">
        <v>754</v>
      </c>
    </row>
    <row r="212" spans="2:6">
      <c r="B212" s="4" t="s">
        <v>690</v>
      </c>
      <c r="C212" s="4" t="s">
        <v>689</v>
      </c>
      <c r="D212" s="4" t="s">
        <v>755</v>
      </c>
      <c r="E212" s="4" t="s">
        <v>756</v>
      </c>
      <c r="F212" s="4" t="s">
        <v>757</v>
      </c>
    </row>
    <row r="213" spans="2:6">
      <c r="B213" s="4" t="s">
        <v>782</v>
      </c>
      <c r="C213" s="4" t="s">
        <v>33</v>
      </c>
      <c r="D213" s="4" t="s">
        <v>758</v>
      </c>
      <c r="E213" s="4" t="s">
        <v>760</v>
      </c>
    </row>
    <row r="214" spans="2:6">
      <c r="B214" s="4" t="s">
        <v>34</v>
      </c>
      <c r="C214" s="4" t="s">
        <v>847</v>
      </c>
      <c r="D214" s="4" t="s">
        <v>758</v>
      </c>
      <c r="E214" s="4" t="s">
        <v>760</v>
      </c>
    </row>
    <row r="215" spans="2:6">
      <c r="B215" s="4" t="s">
        <v>246</v>
      </c>
      <c r="C215" s="4" t="s">
        <v>245</v>
      </c>
      <c r="D215" s="4" t="s">
        <v>755</v>
      </c>
      <c r="E215" s="4" t="s">
        <v>760</v>
      </c>
    </row>
    <row r="216" spans="2:6">
      <c r="B216" s="4" t="s">
        <v>698</v>
      </c>
      <c r="C216" s="4" t="s">
        <v>698</v>
      </c>
      <c r="D216" s="4" t="s">
        <v>765</v>
      </c>
      <c r="E216" s="4" t="s">
        <v>760</v>
      </c>
    </row>
    <row r="217" spans="2:6">
      <c r="B217" s="4" t="s">
        <v>696</v>
      </c>
      <c r="C217" s="4" t="s">
        <v>695</v>
      </c>
      <c r="D217" s="4" t="s">
        <v>763</v>
      </c>
      <c r="E217" s="4" t="s">
        <v>760</v>
      </c>
      <c r="F217" s="4" t="s">
        <v>757</v>
      </c>
    </row>
    <row r="218" spans="2:6">
      <c r="B218" s="4" t="s">
        <v>701</v>
      </c>
      <c r="C218" s="4" t="s">
        <v>700</v>
      </c>
      <c r="D218" s="4" t="s">
        <v>755</v>
      </c>
      <c r="E218" s="4" t="s">
        <v>762</v>
      </c>
      <c r="F218" s="4" t="s">
        <v>764</v>
      </c>
    </row>
    <row r="219" spans="2:6">
      <c r="B219" s="4" t="s">
        <v>720</v>
      </c>
      <c r="C219" s="4" t="s">
        <v>719</v>
      </c>
      <c r="D219" s="4" t="s">
        <v>759</v>
      </c>
      <c r="E219" s="4" t="s">
        <v>762</v>
      </c>
      <c r="F219" s="4" t="s">
        <v>754</v>
      </c>
    </row>
    <row r="220" spans="2:6">
      <c r="B220" s="4" t="s">
        <v>777</v>
      </c>
      <c r="C220" s="4" t="s">
        <v>708</v>
      </c>
      <c r="D220" s="4" t="s">
        <v>763</v>
      </c>
      <c r="F220" s="4" t="s">
        <v>757</v>
      </c>
    </row>
    <row r="221" spans="2:6">
      <c r="B221" s="4" t="s">
        <v>717</v>
      </c>
      <c r="C221" s="4" t="s">
        <v>716</v>
      </c>
      <c r="D221" s="4" t="s">
        <v>759</v>
      </c>
      <c r="E221" s="4" t="s">
        <v>762</v>
      </c>
      <c r="F221" s="4" t="s">
        <v>757</v>
      </c>
    </row>
    <row r="222" spans="2:6">
      <c r="B222" s="4" t="s">
        <v>778</v>
      </c>
      <c r="C222" s="4" t="s">
        <v>713</v>
      </c>
      <c r="D222" s="4" t="s">
        <v>763</v>
      </c>
      <c r="E222" s="4" t="s">
        <v>760</v>
      </c>
    </row>
    <row r="223" spans="2:6">
      <c r="B223" s="4" t="s">
        <v>779</v>
      </c>
      <c r="C223" s="4" t="s">
        <v>551</v>
      </c>
      <c r="D223" s="4" t="s">
        <v>758</v>
      </c>
      <c r="E223" s="4" t="s">
        <v>762</v>
      </c>
    </row>
    <row r="224" spans="2:6">
      <c r="B224" s="4" t="s">
        <v>732</v>
      </c>
      <c r="C224" s="4" t="s">
        <v>731</v>
      </c>
      <c r="D224" s="4" t="s">
        <v>758</v>
      </c>
      <c r="E224" s="4" t="s">
        <v>753</v>
      </c>
      <c r="F224" s="4" t="s">
        <v>754</v>
      </c>
    </row>
    <row r="225" spans="2:6">
      <c r="B225" s="4" t="s">
        <v>738</v>
      </c>
      <c r="C225" s="4" t="s">
        <v>737</v>
      </c>
      <c r="D225" s="4" t="s">
        <v>761</v>
      </c>
      <c r="E225" s="4" t="s">
        <v>762</v>
      </c>
      <c r="F225" s="4" t="s">
        <v>754</v>
      </c>
    </row>
    <row r="226" spans="2:6">
      <c r="B226" s="4" t="s">
        <v>741</v>
      </c>
      <c r="C226" s="4" t="s">
        <v>740</v>
      </c>
      <c r="D226" s="4" t="s">
        <v>761</v>
      </c>
      <c r="E226" s="4" t="s">
        <v>762</v>
      </c>
      <c r="F226" s="4" t="s">
        <v>764</v>
      </c>
    </row>
    <row r="228" spans="2:6">
      <c r="D228" s="6"/>
    </row>
    <row r="229" spans="2:6">
      <c r="D229" s="6"/>
    </row>
  </sheetData>
  <conditionalFormatting sqref="D228:D229">
    <cfRule type="duplicateValues" dxfId="4" priority="1"/>
    <cfRule type="duplicateValues" dxfId="3" priority="2"/>
    <cfRule type="duplicateValues" dxfId="2" priority="3"/>
    <cfRule type="duplicateValues" dxfId="1" priority="4"/>
    <cfRule type="duplicateValues" dxfId="0" priority="5"/>
  </conditionalFormatting>
  <pageMargins left="0.7" right="0.7" top="0.75" bottom="0.75" header="0.3" footer="0.3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570B1-8115-5F41-BA3D-789471ACE968}">
  <sheetPr>
    <tabColor theme="2" tint="-9.9978637043366805E-2"/>
  </sheetPr>
  <dimension ref="A2:R14"/>
  <sheetViews>
    <sheetView tabSelected="1" workbookViewId="0">
      <selection activeCell="E19" sqref="E19"/>
    </sheetView>
  </sheetViews>
  <sheetFormatPr baseColWidth="10" defaultRowHeight="16"/>
  <cols>
    <col min="1" max="1" width="2.83203125" style="32" customWidth="1"/>
    <col min="2" max="2" width="22.6640625" style="32" bestFit="1" customWidth="1"/>
    <col min="3" max="16384" width="10.83203125" style="32"/>
  </cols>
  <sheetData>
    <row r="2" spans="1:18" s="32" customFormat="1">
      <c r="A2" s="30"/>
      <c r="B2" s="31" t="str" cm="1">
        <f t="array" aca="1" ref="B2" ca="1">MID(CELL("filename", A1), FIND("]", CELL("filename", A1)) + 1, 255)</f>
        <v>Sources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</row>
    <row r="5" spans="1:18" s="35" customFormat="1">
      <c r="B5" s="35" t="s">
        <v>742</v>
      </c>
      <c r="C5" s="35" t="s">
        <v>743</v>
      </c>
    </row>
    <row r="6" spans="1:18" s="35" customFormat="1">
      <c r="B6" s="32" t="s">
        <v>848</v>
      </c>
      <c r="C6" s="32" t="s">
        <v>853</v>
      </c>
    </row>
    <row r="7" spans="1:18" s="35" customFormat="1">
      <c r="B7" s="32" t="s">
        <v>744</v>
      </c>
      <c r="C7" s="32" t="s">
        <v>854</v>
      </c>
    </row>
    <row r="8" spans="1:18" s="32" customFormat="1">
      <c r="B8" s="32" t="s">
        <v>821</v>
      </c>
      <c r="C8" s="32" t="s">
        <v>855</v>
      </c>
    </row>
    <row r="9" spans="1:18" s="32" customFormat="1">
      <c r="B9" s="32" t="s">
        <v>780</v>
      </c>
      <c r="C9" s="32" t="s">
        <v>856</v>
      </c>
    </row>
    <row r="10" spans="1:18" s="32" customFormat="1">
      <c r="B10" s="32" t="s">
        <v>849</v>
      </c>
      <c r="C10" s="32" t="s">
        <v>856</v>
      </c>
    </row>
    <row r="11" spans="1:18" s="32" customFormat="1">
      <c r="B11" s="32" t="s">
        <v>850</v>
      </c>
      <c r="C11" s="32" t="s">
        <v>859</v>
      </c>
    </row>
    <row r="12" spans="1:18" s="32" customFormat="1">
      <c r="B12" s="32" t="s">
        <v>851</v>
      </c>
      <c r="C12" s="32" t="s">
        <v>857</v>
      </c>
    </row>
    <row r="13" spans="1:18" s="32" customFormat="1">
      <c r="B13" s="32" t="s">
        <v>822</v>
      </c>
      <c r="C13" s="32" t="s">
        <v>858</v>
      </c>
    </row>
    <row r="14" spans="1:18" s="32" customFormat="1">
      <c r="B14" s="32" t="s">
        <v>852</v>
      </c>
      <c r="C14" s="32" t="s">
        <v>860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A194E-5CB0-3A4A-A172-59964B13C5C6}">
  <sheetPr>
    <tabColor theme="2" tint="-9.9978637043366805E-2"/>
  </sheetPr>
  <dimension ref="A3:S159"/>
  <sheetViews>
    <sheetView workbookViewId="0">
      <selection activeCell="F32" sqref="F32"/>
    </sheetView>
  </sheetViews>
  <sheetFormatPr baseColWidth="10" defaultRowHeight="16"/>
  <cols>
    <col min="1" max="1" width="2.83203125" customWidth="1"/>
  </cols>
  <sheetData>
    <row r="3" spans="1:19" s="32" customFormat="1">
      <c r="A3" s="30"/>
      <c r="B3" s="31" t="str" cm="1">
        <f t="array" aca="1" ref="B3" ca="1">MID(CELL("filename", A2), FIND("]", CELL("filename", A2)) + 1, 255)</f>
        <v>Drop Down Lists</v>
      </c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</row>
    <row r="5" spans="1:19" s="2" customFormat="1">
      <c r="B5" s="2" t="s">
        <v>781</v>
      </c>
      <c r="D5" s="2" t="s">
        <v>812</v>
      </c>
      <c r="F5" s="2" t="s">
        <v>746</v>
      </c>
    </row>
    <row r="6" spans="1:19">
      <c r="B6" t="s">
        <v>782</v>
      </c>
      <c r="D6" t="s">
        <v>800</v>
      </c>
      <c r="F6">
        <v>2008</v>
      </c>
    </row>
    <row r="7" spans="1:19">
      <c r="B7" t="s">
        <v>25</v>
      </c>
      <c r="D7" t="s">
        <v>801</v>
      </c>
      <c r="F7">
        <v>2009</v>
      </c>
    </row>
    <row r="8" spans="1:19">
      <c r="B8" t="s">
        <v>783</v>
      </c>
      <c r="D8" t="s">
        <v>802</v>
      </c>
      <c r="F8">
        <v>2010</v>
      </c>
    </row>
    <row r="9" spans="1:19">
      <c r="B9" t="s">
        <v>15</v>
      </c>
      <c r="F9">
        <v>2011</v>
      </c>
    </row>
    <row r="10" spans="1:19">
      <c r="B10" t="s">
        <v>38</v>
      </c>
      <c r="F10">
        <v>2012</v>
      </c>
    </row>
    <row r="11" spans="1:19">
      <c r="B11" t="s">
        <v>41</v>
      </c>
      <c r="F11">
        <v>2013</v>
      </c>
    </row>
    <row r="12" spans="1:19">
      <c r="B12" t="s">
        <v>7</v>
      </c>
      <c r="F12">
        <v>2014</v>
      </c>
    </row>
    <row r="13" spans="1:19">
      <c r="B13" t="s">
        <v>56</v>
      </c>
      <c r="F13">
        <v>2015</v>
      </c>
    </row>
    <row r="14" spans="1:19">
      <c r="B14" t="s">
        <v>59</v>
      </c>
      <c r="F14">
        <v>2016</v>
      </c>
    </row>
    <row r="15" spans="1:19">
      <c r="B15" t="s">
        <v>62</v>
      </c>
      <c r="F15">
        <v>2017</v>
      </c>
    </row>
    <row r="16" spans="1:19">
      <c r="B16" t="s">
        <v>89</v>
      </c>
      <c r="F16">
        <v>2018</v>
      </c>
    </row>
    <row r="17" spans="2:6">
      <c r="B17" t="s">
        <v>86</v>
      </c>
      <c r="F17">
        <v>2019</v>
      </c>
    </row>
    <row r="18" spans="2:6">
      <c r="B18" t="s">
        <v>80</v>
      </c>
      <c r="F18">
        <v>2020</v>
      </c>
    </row>
    <row r="19" spans="2:6">
      <c r="B19" t="s">
        <v>112</v>
      </c>
      <c r="F19">
        <v>2021</v>
      </c>
    </row>
    <row r="20" spans="2:6">
      <c r="B20" t="s">
        <v>98</v>
      </c>
      <c r="F20">
        <v>2022</v>
      </c>
    </row>
    <row r="21" spans="2:6">
      <c r="B21" t="s">
        <v>68</v>
      </c>
      <c r="F21">
        <v>2023</v>
      </c>
    </row>
    <row r="22" spans="2:6">
      <c r="B22" t="s">
        <v>101</v>
      </c>
    </row>
    <row r="23" spans="2:6">
      <c r="B23" t="s">
        <v>71</v>
      </c>
    </row>
    <row r="24" spans="2:6">
      <c r="B24" t="s">
        <v>104</v>
      </c>
    </row>
    <row r="25" spans="2:6">
      <c r="B25" t="s">
        <v>766</v>
      </c>
    </row>
    <row r="26" spans="2:6">
      <c r="B26" t="s">
        <v>92</v>
      </c>
    </row>
    <row r="27" spans="2:6">
      <c r="B27" t="s">
        <v>124</v>
      </c>
    </row>
    <row r="28" spans="2:6">
      <c r="B28" t="s">
        <v>109</v>
      </c>
    </row>
    <row r="29" spans="2:6">
      <c r="B29" t="s">
        <v>83</v>
      </c>
    </row>
    <row r="30" spans="2:6">
      <c r="B30" t="s">
        <v>77</v>
      </c>
    </row>
    <row r="31" spans="2:6">
      <c r="B31" t="s">
        <v>363</v>
      </c>
    </row>
    <row r="32" spans="2:6">
      <c r="B32" t="s">
        <v>147</v>
      </c>
    </row>
    <row r="33" spans="2:2">
      <c r="B33" t="s">
        <v>130</v>
      </c>
    </row>
    <row r="34" spans="2:2">
      <c r="B34" t="s">
        <v>784</v>
      </c>
    </row>
    <row r="35" spans="2:2">
      <c r="B35" t="s">
        <v>177</v>
      </c>
    </row>
    <row r="36" spans="2:2">
      <c r="B36" t="s">
        <v>139</v>
      </c>
    </row>
    <row r="37" spans="2:2">
      <c r="B37" t="s">
        <v>142</v>
      </c>
    </row>
    <row r="38" spans="2:2">
      <c r="B38" t="s">
        <v>157</v>
      </c>
    </row>
    <row r="39" spans="2:2">
      <c r="B39" t="s">
        <v>785</v>
      </c>
    </row>
    <row r="40" spans="2:2">
      <c r="B40" t="s">
        <v>786</v>
      </c>
    </row>
    <row r="41" spans="2:2">
      <c r="B41" t="s">
        <v>165</v>
      </c>
    </row>
    <row r="42" spans="2:2">
      <c r="B42" t="s">
        <v>813</v>
      </c>
    </row>
    <row r="43" spans="2:2">
      <c r="B43" t="s">
        <v>304</v>
      </c>
    </row>
    <row r="44" spans="2:2">
      <c r="B44" t="s">
        <v>168</v>
      </c>
    </row>
    <row r="45" spans="2:2">
      <c r="B45" t="s">
        <v>171</v>
      </c>
    </row>
    <row r="46" spans="2:2">
      <c r="B46" t="s">
        <v>180</v>
      </c>
    </row>
    <row r="47" spans="2:2">
      <c r="B47" t="s">
        <v>183</v>
      </c>
    </row>
    <row r="48" spans="2:2">
      <c r="B48" t="s">
        <v>195</v>
      </c>
    </row>
    <row r="49" spans="2:2">
      <c r="B49" t="s">
        <v>198</v>
      </c>
    </row>
    <row r="50" spans="2:2">
      <c r="B50" t="s">
        <v>204</v>
      </c>
    </row>
    <row r="51" spans="2:2">
      <c r="B51" t="s">
        <v>207</v>
      </c>
    </row>
    <row r="52" spans="2:2">
      <c r="B52" t="s">
        <v>598</v>
      </c>
    </row>
    <row r="53" spans="2:2">
      <c r="B53" t="s">
        <v>219</v>
      </c>
    </row>
    <row r="54" spans="2:2">
      <c r="B54" t="s">
        <v>222</v>
      </c>
    </row>
    <row r="55" spans="2:2">
      <c r="B55" t="s">
        <v>228</v>
      </c>
    </row>
    <row r="56" spans="2:2">
      <c r="B56" t="s">
        <v>225</v>
      </c>
    </row>
    <row r="57" spans="2:2">
      <c r="B57" t="s">
        <v>234</v>
      </c>
    </row>
    <row r="58" spans="2:2">
      <c r="B58" t="s">
        <v>243</v>
      </c>
    </row>
    <row r="59" spans="2:2">
      <c r="B59" t="s">
        <v>249</v>
      </c>
    </row>
    <row r="60" spans="2:2">
      <c r="B60" t="s">
        <v>186</v>
      </c>
    </row>
    <row r="61" spans="2:2">
      <c r="B61" t="s">
        <v>254</v>
      </c>
    </row>
    <row r="62" spans="2:2">
      <c r="B62" t="s">
        <v>275</v>
      </c>
    </row>
    <row r="63" spans="2:2">
      <c r="B63" t="s">
        <v>284</v>
      </c>
    </row>
    <row r="64" spans="2:2">
      <c r="B64" t="s">
        <v>787</v>
      </c>
    </row>
    <row r="65" spans="2:2">
      <c r="B65" t="s">
        <v>301</v>
      </c>
    </row>
    <row r="66" spans="2:2">
      <c r="B66" t="s">
        <v>788</v>
      </c>
    </row>
    <row r="67" spans="2:2">
      <c r="B67" t="s">
        <v>310</v>
      </c>
    </row>
    <row r="68" spans="2:2">
      <c r="B68" t="s">
        <v>334</v>
      </c>
    </row>
    <row r="69" spans="2:2">
      <c r="B69" t="s">
        <v>319</v>
      </c>
    </row>
    <row r="70" spans="2:2">
      <c r="B70" t="s">
        <v>313</v>
      </c>
    </row>
    <row r="71" spans="2:2">
      <c r="B71" t="s">
        <v>331</v>
      </c>
    </row>
    <row r="72" spans="2:2">
      <c r="B72" t="s">
        <v>325</v>
      </c>
    </row>
    <row r="73" spans="2:2">
      <c r="B73" t="s">
        <v>316</v>
      </c>
    </row>
    <row r="74" spans="2:2">
      <c r="B74" t="s">
        <v>337</v>
      </c>
    </row>
    <row r="75" spans="2:2">
      <c r="B75" t="s">
        <v>340</v>
      </c>
    </row>
    <row r="76" spans="2:2">
      <c r="B76" t="s">
        <v>343</v>
      </c>
    </row>
    <row r="77" spans="2:2">
      <c r="B77" t="s">
        <v>351</v>
      </c>
    </row>
    <row r="78" spans="2:2">
      <c r="B78" t="s">
        <v>789</v>
      </c>
    </row>
    <row r="79" spans="2:2">
      <c r="B79" t="s">
        <v>348</v>
      </c>
    </row>
    <row r="80" spans="2:2">
      <c r="B80" t="s">
        <v>354</v>
      </c>
    </row>
    <row r="81" spans="2:2">
      <c r="B81" t="s">
        <v>357</v>
      </c>
    </row>
    <row r="82" spans="2:2">
      <c r="B82" t="s">
        <v>372</v>
      </c>
    </row>
    <row r="83" spans="2:2">
      <c r="B83" t="s">
        <v>375</v>
      </c>
    </row>
    <row r="84" spans="2:2">
      <c r="B84" t="s">
        <v>360</v>
      </c>
    </row>
    <row r="85" spans="2:2">
      <c r="B85" t="s">
        <v>790</v>
      </c>
    </row>
    <row r="86" spans="2:2">
      <c r="B86" t="s">
        <v>407</v>
      </c>
    </row>
    <row r="87" spans="2:2">
      <c r="B87" t="s">
        <v>380</v>
      </c>
    </row>
    <row r="88" spans="2:2">
      <c r="B88" t="s">
        <v>392</v>
      </c>
    </row>
    <row r="89" spans="2:2">
      <c r="B89" t="s">
        <v>401</v>
      </c>
    </row>
    <row r="90" spans="2:2">
      <c r="B90" t="s">
        <v>404</v>
      </c>
    </row>
    <row r="91" spans="2:2">
      <c r="B91" t="s">
        <v>791</v>
      </c>
    </row>
    <row r="92" spans="2:2">
      <c r="B92" t="s">
        <v>792</v>
      </c>
    </row>
    <row r="93" spans="2:2">
      <c r="B93" t="s">
        <v>473</v>
      </c>
    </row>
    <row r="94" spans="2:2">
      <c r="B94" t="s">
        <v>426</v>
      </c>
    </row>
    <row r="95" spans="2:2">
      <c r="B95" t="s">
        <v>437</v>
      </c>
    </row>
    <row r="96" spans="2:2">
      <c r="B96" t="s">
        <v>440</v>
      </c>
    </row>
    <row r="97" spans="2:2">
      <c r="B97" t="s">
        <v>467</v>
      </c>
    </row>
    <row r="98" spans="2:2">
      <c r="B98" t="s">
        <v>429</v>
      </c>
    </row>
    <row r="99" spans="2:2">
      <c r="B99" t="s">
        <v>772</v>
      </c>
    </row>
    <row r="100" spans="2:2">
      <c r="B100" t="s">
        <v>449</v>
      </c>
    </row>
    <row r="101" spans="2:2">
      <c r="B101" t="s">
        <v>446</v>
      </c>
    </row>
    <row r="102" spans="2:2">
      <c r="B102" t="s">
        <v>461</v>
      </c>
    </row>
    <row r="103" spans="2:2">
      <c r="B103" t="s">
        <v>415</v>
      </c>
    </row>
    <row r="104" spans="2:2">
      <c r="B104" t="s">
        <v>455</v>
      </c>
    </row>
    <row r="105" spans="2:2">
      <c r="B105" t="s">
        <v>478</v>
      </c>
    </row>
    <row r="106" spans="2:2">
      <c r="B106" t="s">
        <v>499</v>
      </c>
    </row>
    <row r="107" spans="2:2">
      <c r="B107" t="s">
        <v>510</v>
      </c>
    </row>
    <row r="108" spans="2:2">
      <c r="B108" t="s">
        <v>493</v>
      </c>
    </row>
    <row r="109" spans="2:2">
      <c r="B109" t="s">
        <v>484</v>
      </c>
    </row>
    <row r="110" spans="2:2">
      <c r="B110" t="s">
        <v>490</v>
      </c>
    </row>
    <row r="111" spans="2:2">
      <c r="B111" t="s">
        <v>501</v>
      </c>
    </row>
    <row r="112" spans="2:2">
      <c r="B112" t="s">
        <v>513</v>
      </c>
    </row>
    <row r="113" spans="2:2">
      <c r="B113" t="s">
        <v>516</v>
      </c>
    </row>
    <row r="114" spans="2:2">
      <c r="B114" t="s">
        <v>519</v>
      </c>
    </row>
    <row r="115" spans="2:2">
      <c r="B115" t="s">
        <v>534</v>
      </c>
    </row>
    <row r="116" spans="2:2">
      <c r="B116" t="s">
        <v>549</v>
      </c>
    </row>
    <row r="117" spans="2:2">
      <c r="B117" t="s">
        <v>525</v>
      </c>
    </row>
    <row r="118" spans="2:2">
      <c r="B118" t="s">
        <v>528</v>
      </c>
    </row>
    <row r="119" spans="2:2">
      <c r="B119" t="s">
        <v>537</v>
      </c>
    </row>
    <row r="120" spans="2:2">
      <c r="B120" t="s">
        <v>546</v>
      </c>
    </row>
    <row r="121" spans="2:2">
      <c r="B121" t="s">
        <v>558</v>
      </c>
    </row>
    <row r="122" spans="2:2">
      <c r="B122" t="s">
        <v>564</v>
      </c>
    </row>
    <row r="123" spans="2:2">
      <c r="B123" t="s">
        <v>798</v>
      </c>
    </row>
    <row r="124" spans="2:2">
      <c r="B124" t="s">
        <v>569</v>
      </c>
    </row>
    <row r="125" spans="2:2">
      <c r="B125" t="s">
        <v>571</v>
      </c>
    </row>
    <row r="126" spans="2:2">
      <c r="B126" t="s">
        <v>577</v>
      </c>
    </row>
    <row r="127" spans="2:2">
      <c r="B127" t="s">
        <v>610</v>
      </c>
    </row>
    <row r="128" spans="2:2">
      <c r="B128" t="s">
        <v>580</v>
      </c>
    </row>
    <row r="129" spans="2:2">
      <c r="B129" t="s">
        <v>622</v>
      </c>
    </row>
    <row r="130" spans="2:2">
      <c r="B130" t="s">
        <v>625</v>
      </c>
    </row>
    <row r="131" spans="2:2">
      <c r="B131" t="s">
        <v>592</v>
      </c>
    </row>
    <row r="132" spans="2:2">
      <c r="B132" t="s">
        <v>735</v>
      </c>
    </row>
    <row r="133" spans="2:2">
      <c r="B133" t="s">
        <v>216</v>
      </c>
    </row>
    <row r="134" spans="2:2">
      <c r="B134" t="s">
        <v>395</v>
      </c>
    </row>
    <row r="135" spans="2:2">
      <c r="B135" t="s">
        <v>795</v>
      </c>
    </row>
    <row r="136" spans="2:2">
      <c r="B136" t="s">
        <v>796</v>
      </c>
    </row>
    <row r="137" spans="2:2">
      <c r="B137" t="s">
        <v>619</v>
      </c>
    </row>
    <row r="138" spans="2:2">
      <c r="B138" t="s">
        <v>631</v>
      </c>
    </row>
    <row r="139" spans="2:2">
      <c r="B139" t="s">
        <v>628</v>
      </c>
    </row>
    <row r="140" spans="2:2">
      <c r="B140" t="s">
        <v>136</v>
      </c>
    </row>
    <row r="141" spans="2:2">
      <c r="B141" t="s">
        <v>681</v>
      </c>
    </row>
    <row r="142" spans="2:2">
      <c r="B142" t="s">
        <v>654</v>
      </c>
    </row>
    <row r="143" spans="2:2">
      <c r="B143" t="s">
        <v>684</v>
      </c>
    </row>
    <row r="144" spans="2:2">
      <c r="B144" t="s">
        <v>651</v>
      </c>
    </row>
    <row r="145" spans="2:2">
      <c r="B145" t="s">
        <v>648</v>
      </c>
    </row>
    <row r="146" spans="2:2">
      <c r="B146" t="s">
        <v>669</v>
      </c>
    </row>
    <row r="147" spans="2:2">
      <c r="B147" t="s">
        <v>672</v>
      </c>
    </row>
    <row r="148" spans="2:2">
      <c r="B148" t="s">
        <v>675</v>
      </c>
    </row>
    <row r="149" spans="2:2">
      <c r="B149" t="s">
        <v>642</v>
      </c>
    </row>
    <row r="150" spans="2:2">
      <c r="B150" t="s">
        <v>687</v>
      </c>
    </row>
    <row r="151" spans="2:2">
      <c r="B151" t="s">
        <v>690</v>
      </c>
    </row>
    <row r="152" spans="2:2">
      <c r="B152" t="s">
        <v>34</v>
      </c>
    </row>
    <row r="153" spans="2:2">
      <c r="B153" t="s">
        <v>246</v>
      </c>
    </row>
    <row r="154" spans="2:2">
      <c r="B154" t="s">
        <v>698</v>
      </c>
    </row>
    <row r="155" spans="2:2">
      <c r="B155" t="s">
        <v>696</v>
      </c>
    </row>
    <row r="156" spans="2:2">
      <c r="B156" t="s">
        <v>701</v>
      </c>
    </row>
    <row r="157" spans="2:2">
      <c r="B157" t="s">
        <v>777</v>
      </c>
    </row>
    <row r="158" spans="2:2">
      <c r="B158" t="s">
        <v>717</v>
      </c>
    </row>
    <row r="159" spans="2:2">
      <c r="B159" t="s">
        <v>738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WACC Tool</vt:lpstr>
      <vt:lpstr>Input&gt;</vt:lpstr>
      <vt:lpstr>Equity Risk Premium</vt:lpstr>
      <vt:lpstr>Global Risk Free Rate</vt:lpstr>
      <vt:lpstr>Tax Rate</vt:lpstr>
      <vt:lpstr>Country Default Spread</vt:lpstr>
      <vt:lpstr>Country Premium</vt:lpstr>
      <vt:lpstr>Infrastructure Premium</vt:lpstr>
      <vt:lpstr>Region and Tech Premium</vt:lpstr>
      <vt:lpstr>Debt Share</vt:lpstr>
      <vt:lpstr>World Regions</vt:lpstr>
      <vt:lpstr>Sources</vt:lpstr>
      <vt:lpstr>Drop Down 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Wildgruber, Katharina</dc:creator>
  <cp:lastModifiedBy>Wildgruber, Katharina</cp:lastModifiedBy>
  <dcterms:created xsi:type="dcterms:W3CDTF">2025-10-22T09:27:21Z</dcterms:created>
  <dcterms:modified xsi:type="dcterms:W3CDTF">2025-10-23T13:45:07Z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0d5c4f4-7a29-4385-b7a5-afbe2154ae6f_Enabled">
    <vt:lpwstr>true</vt:lpwstr>
  </property>
  <property fmtid="{D5CDD505-2E9C-101B-9397-08002B2CF9AE}" pid="3" name="MSIP_Label_b0d5c4f4-7a29-4385-b7a5-afbe2154ae6f_SetDate">
    <vt:lpwstr>2025-10-22T09:27:26Z</vt:lpwstr>
  </property>
  <property fmtid="{D5CDD505-2E9C-101B-9397-08002B2CF9AE}" pid="4" name="MSIP_Label_b0d5c4f4-7a29-4385-b7a5-afbe2154ae6f_Method">
    <vt:lpwstr>Standard</vt:lpwstr>
  </property>
  <property fmtid="{D5CDD505-2E9C-101B-9397-08002B2CF9AE}" pid="5" name="MSIP_Label_b0d5c4f4-7a29-4385-b7a5-afbe2154ae6f_Name">
    <vt:lpwstr>Confidential</vt:lpwstr>
  </property>
  <property fmtid="{D5CDD505-2E9C-101B-9397-08002B2CF9AE}" pid="6" name="MSIP_Label_b0d5c4f4-7a29-4385-b7a5-afbe2154ae6f_SiteId">
    <vt:lpwstr>2dfb2f0b-4d21-4268-9559-72926144c918</vt:lpwstr>
  </property>
  <property fmtid="{D5CDD505-2E9C-101B-9397-08002B2CF9AE}" pid="7" name="MSIP_Label_b0d5c4f4-7a29-4385-b7a5-afbe2154ae6f_ActionId">
    <vt:lpwstr>fa6effa0-abff-4ed4-a29d-48722514528b</vt:lpwstr>
  </property>
  <property fmtid="{D5CDD505-2E9C-101B-9397-08002B2CF9AE}" pid="8" name="MSIP_Label_b0d5c4f4-7a29-4385-b7a5-afbe2154ae6f_ContentBits">
    <vt:lpwstr>0</vt:lpwstr>
  </property>
  <property fmtid="{D5CDD505-2E9C-101B-9397-08002B2CF9AE}" pid="9" name="MSIP_Label_b0d5c4f4-7a29-4385-b7a5-afbe2154ae6f_Tag">
    <vt:lpwstr>50, 3, 0, 1</vt:lpwstr>
  </property>
</Properties>
</file>